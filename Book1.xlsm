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dro\OneDrive\Desktop\Excel files\INVENTORY MANAGEMENT\"/>
    </mc:Choice>
  </mc:AlternateContent>
  <xr:revisionPtr revIDLastSave="0" documentId="13_ncr:1_{0CB43F7A-22F1-46AD-A4F3-8B59D8C4BCF0}" xr6:coauthVersionLast="47" xr6:coauthVersionMax="47" xr10:uidLastSave="{00000000-0000-0000-0000-000000000000}"/>
  <bookViews>
    <workbookView xWindow="-108" yWindow="-108" windowWidth="23256" windowHeight="12456" activeTab="2" xr2:uid="{B0FEFFCA-7945-4D2D-8FD3-0C7942BE5880}"/>
  </bookViews>
  <sheets>
    <sheet name="Inventory Form" sheetId="2" r:id="rId1"/>
    <sheet name="MasterData" sheetId="1" r:id="rId2"/>
    <sheet name="Stockin" sheetId="3" r:id="rId3"/>
    <sheet name="StockOut" sheetId="4" r:id="rId4"/>
    <sheet name="Inventory-Summary" sheetId="5" r:id="rId5"/>
  </sheets>
  <functionGroups builtInGroupCount="19"/>
  <definedNames>
    <definedName name="_xlnm._FilterDatabase" localSheetId="4" hidden="1">'Inventory-Summary'!$A$1:$L$1</definedName>
    <definedName name="_xlnm._FilterDatabase" localSheetId="1" hidden="1">MasterData!$A$1:$G$1</definedName>
    <definedName name="_xlnm._FilterDatabase" localSheetId="2" hidden="1">Stockin!$A$1:$G$1</definedName>
    <definedName name="_xlnm._FilterDatabase" localSheetId="3" hidden="1">StockOut!$A$1:$H$1</definedName>
    <definedName name="data">Table1[[Product ID]:[RSP]]</definedName>
    <definedName name="item">MasterData!$B$2:$B$1048576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97" i="3" l="1"/>
  <c r="F197" i="3" s="1"/>
  <c r="D196" i="3"/>
  <c r="F196" i="3" s="1"/>
  <c r="D195" i="3"/>
  <c r="F195" i="3" s="1"/>
  <c r="C194" i="3"/>
  <c r="D194" i="3"/>
  <c r="F194" i="3" s="1"/>
  <c r="C193" i="3"/>
  <c r="D193" i="3"/>
  <c r="F193" i="3" s="1"/>
  <c r="C192" i="3"/>
  <c r="D192" i="3"/>
  <c r="F192" i="3" s="1"/>
  <c r="K10" i="5"/>
  <c r="K11" i="5"/>
  <c r="K19" i="5"/>
  <c r="K70" i="5"/>
  <c r="K71" i="5"/>
  <c r="K127" i="5"/>
  <c r="K128" i="5"/>
  <c r="K154" i="5"/>
  <c r="K155" i="5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L61" i="5"/>
  <c r="L66" i="5"/>
  <c r="J51" i="5"/>
  <c r="I2" i="5"/>
  <c r="I3" i="5"/>
  <c r="I4" i="5"/>
  <c r="I5" i="5"/>
  <c r="I183" i="5"/>
  <c r="I184" i="5"/>
  <c r="I185" i="5"/>
  <c r="H17" i="5"/>
  <c r="H110" i="5"/>
  <c r="H111" i="5"/>
  <c r="H159" i="5"/>
  <c r="H160" i="5"/>
  <c r="H161" i="5"/>
  <c r="H171" i="5"/>
  <c r="A2" i="5"/>
  <c r="A3" i="5"/>
  <c r="E3" i="5" s="1"/>
  <c r="A4" i="5"/>
  <c r="J4" i="5" s="1"/>
  <c r="A5" i="5"/>
  <c r="C5" i="5" s="1"/>
  <c r="A6" i="5"/>
  <c r="C6" i="5" s="1"/>
  <c r="A7" i="5"/>
  <c r="A8" i="5"/>
  <c r="H8" i="5" s="1"/>
  <c r="A9" i="5"/>
  <c r="A10" i="5"/>
  <c r="A11" i="5"/>
  <c r="K12" i="5" s="1"/>
  <c r="A12" i="5"/>
  <c r="K13" i="5" s="1"/>
  <c r="A13" i="5"/>
  <c r="L13" i="5" s="1"/>
  <c r="A14" i="5"/>
  <c r="K15" i="5" s="1"/>
  <c r="A15" i="5"/>
  <c r="D15" i="5" s="1"/>
  <c r="A16" i="5"/>
  <c r="G16" i="5" s="1"/>
  <c r="A17" i="5"/>
  <c r="C17" i="5" s="1"/>
  <c r="A18" i="5"/>
  <c r="F18" i="5" s="1"/>
  <c r="A19" i="5"/>
  <c r="H19" i="5" s="1"/>
  <c r="A20" i="5"/>
  <c r="H20" i="5" s="1"/>
  <c r="A21" i="5"/>
  <c r="L21" i="5" s="1"/>
  <c r="A22" i="5"/>
  <c r="L22" i="5" s="1"/>
  <c r="A23" i="5"/>
  <c r="K24" i="5" s="1"/>
  <c r="A24" i="5"/>
  <c r="J24" i="5" s="1"/>
  <c r="A25" i="5"/>
  <c r="I25" i="5" s="1"/>
  <c r="A26" i="5"/>
  <c r="I26" i="5" s="1"/>
  <c r="A27" i="5"/>
  <c r="E27" i="5" s="1"/>
  <c r="A28" i="5"/>
  <c r="G28" i="5" s="1"/>
  <c r="A29" i="5"/>
  <c r="C29" i="5" s="1"/>
  <c r="A30" i="5"/>
  <c r="F30" i="5" s="1"/>
  <c r="A31" i="5"/>
  <c r="H31" i="5" s="1"/>
  <c r="A32" i="5"/>
  <c r="H32" i="5" s="1"/>
  <c r="A33" i="5"/>
  <c r="L33" i="5" s="1"/>
  <c r="A34" i="5"/>
  <c r="L34" i="5" s="1"/>
  <c r="A35" i="5"/>
  <c r="L35" i="5" s="1"/>
  <c r="A36" i="5"/>
  <c r="K37" i="5" s="1"/>
  <c r="A37" i="5"/>
  <c r="K38" i="5" s="1"/>
  <c r="A38" i="5"/>
  <c r="I38" i="5" s="1"/>
  <c r="A39" i="5"/>
  <c r="E39" i="5" s="1"/>
  <c r="A40" i="5"/>
  <c r="F40" i="5" s="1"/>
  <c r="A41" i="5"/>
  <c r="F41" i="5" s="1"/>
  <c r="A42" i="5"/>
  <c r="F42" i="5" s="1"/>
  <c r="A43" i="5"/>
  <c r="H43" i="5" s="1"/>
  <c r="A44" i="5"/>
  <c r="F44" i="5" s="1"/>
  <c r="A45" i="5"/>
  <c r="L45" i="5" s="1"/>
  <c r="A46" i="5"/>
  <c r="L46" i="5" s="1"/>
  <c r="A47" i="5"/>
  <c r="K48" i="5" s="1"/>
  <c r="A48" i="5"/>
  <c r="G48" i="5" s="1"/>
  <c r="A49" i="5"/>
  <c r="K50" i="5" s="1"/>
  <c r="A50" i="5"/>
  <c r="I50" i="5" s="1"/>
  <c r="A51" i="5"/>
  <c r="G51" i="5" s="1"/>
  <c r="A52" i="5"/>
  <c r="F52" i="5" s="1"/>
  <c r="A53" i="5"/>
  <c r="C53" i="5" s="1"/>
  <c r="A54" i="5"/>
  <c r="C54" i="5" s="1"/>
  <c r="A55" i="5"/>
  <c r="H55" i="5" s="1"/>
  <c r="A56" i="5"/>
  <c r="H56" i="5" s="1"/>
  <c r="A57" i="5"/>
  <c r="L57" i="5" s="1"/>
  <c r="A58" i="5"/>
  <c r="L58" i="5" s="1"/>
  <c r="A59" i="5"/>
  <c r="K60" i="5" s="1"/>
  <c r="A60" i="5"/>
  <c r="F60" i="5" s="1"/>
  <c r="A61" i="5"/>
  <c r="I61" i="5" s="1"/>
  <c r="A62" i="5"/>
  <c r="H62" i="5" s="1"/>
  <c r="A63" i="5"/>
  <c r="B63" i="5" s="1"/>
  <c r="A64" i="5"/>
  <c r="G64" i="5" s="1"/>
  <c r="A65" i="5"/>
  <c r="F65" i="5" s="1"/>
  <c r="A66" i="5"/>
  <c r="C66" i="5" s="1"/>
  <c r="A67" i="5"/>
  <c r="K68" i="5" s="1"/>
  <c r="A68" i="5"/>
  <c r="F68" i="5" s="1"/>
  <c r="A69" i="5"/>
  <c r="A70" i="5"/>
  <c r="I70" i="5" s="1"/>
  <c r="A71" i="5"/>
  <c r="K72" i="5" s="1"/>
  <c r="A72" i="5"/>
  <c r="E72" i="5" s="1"/>
  <c r="A73" i="5"/>
  <c r="L73" i="5" s="1"/>
  <c r="A74" i="5"/>
  <c r="K75" i="5" s="1"/>
  <c r="A75" i="5"/>
  <c r="E75" i="5" s="1"/>
  <c r="A76" i="5"/>
  <c r="G76" i="5" s="1"/>
  <c r="A77" i="5"/>
  <c r="C77" i="5" s="1"/>
  <c r="A78" i="5"/>
  <c r="F78" i="5" s="1"/>
  <c r="A79" i="5"/>
  <c r="K80" i="5" s="1"/>
  <c r="A80" i="5"/>
  <c r="E80" i="5" s="1"/>
  <c r="A81" i="5"/>
  <c r="L81" i="5" s="1"/>
  <c r="A82" i="5"/>
  <c r="I82" i="5" s="1"/>
  <c r="A83" i="5"/>
  <c r="K84" i="5" s="1"/>
  <c r="A84" i="5"/>
  <c r="D84" i="5" s="1"/>
  <c r="A85" i="5"/>
  <c r="K86" i="5" s="1"/>
  <c r="A86" i="5"/>
  <c r="K87" i="5" s="1"/>
  <c r="A87" i="5"/>
  <c r="E87" i="5" s="1"/>
  <c r="A88" i="5"/>
  <c r="J88" i="5" s="1"/>
  <c r="A89" i="5"/>
  <c r="C89" i="5" s="1"/>
  <c r="A90" i="5"/>
  <c r="F90" i="5" s="1"/>
  <c r="A91" i="5"/>
  <c r="H91" i="5" s="1"/>
  <c r="A92" i="5"/>
  <c r="E92" i="5" s="1"/>
  <c r="A93" i="5"/>
  <c r="L93" i="5" s="1"/>
  <c r="A94" i="5"/>
  <c r="I94" i="5" s="1"/>
  <c r="A95" i="5"/>
  <c r="K96" i="5" s="1"/>
  <c r="A96" i="5"/>
  <c r="F96" i="5" s="1"/>
  <c r="A97" i="5"/>
  <c r="L97" i="5" s="1"/>
  <c r="A98" i="5"/>
  <c r="H98" i="5" s="1"/>
  <c r="A99" i="5"/>
  <c r="B99" i="5" s="1"/>
  <c r="A100" i="5"/>
  <c r="F100" i="5" s="1"/>
  <c r="A101" i="5"/>
  <c r="F101" i="5" s="1"/>
  <c r="A102" i="5"/>
  <c r="F102" i="5" s="1"/>
  <c r="A103" i="5"/>
  <c r="H103" i="5" s="1"/>
  <c r="A104" i="5"/>
  <c r="E104" i="5" s="1"/>
  <c r="A105" i="5"/>
  <c r="K106" i="5" s="1"/>
  <c r="A106" i="5"/>
  <c r="K107" i="5" s="1"/>
  <c r="A107" i="5"/>
  <c r="K108" i="5" s="1"/>
  <c r="A108" i="5"/>
  <c r="E108" i="5" s="1"/>
  <c r="A109" i="5"/>
  <c r="I109" i="5" s="1"/>
  <c r="A110" i="5"/>
  <c r="J110" i="5" s="1"/>
  <c r="A111" i="5"/>
  <c r="B111" i="5" s="1"/>
  <c r="A112" i="5"/>
  <c r="G112" i="5" s="1"/>
  <c r="A113" i="5"/>
  <c r="C113" i="5" s="1"/>
  <c r="A114" i="5"/>
  <c r="C114" i="5" s="1"/>
  <c r="A115" i="5"/>
  <c r="H115" i="5" s="1"/>
  <c r="A116" i="5"/>
  <c r="E116" i="5" s="1"/>
  <c r="A117" i="5"/>
  <c r="L117" i="5" s="1"/>
  <c r="A118" i="5"/>
  <c r="L118" i="5" s="1"/>
  <c r="A119" i="5"/>
  <c r="K120" i="5" s="1"/>
  <c r="A120" i="5"/>
  <c r="F120" i="5" s="1"/>
  <c r="A121" i="5"/>
  <c r="K122" i="5" s="1"/>
  <c r="A122" i="5"/>
  <c r="J122" i="5" s="1"/>
  <c r="A123" i="5"/>
  <c r="E123" i="5" s="1"/>
  <c r="A124" i="5"/>
  <c r="F124" i="5" s="1"/>
  <c r="A125" i="5"/>
  <c r="C125" i="5" s="1"/>
  <c r="A126" i="5"/>
  <c r="F126" i="5" s="1"/>
  <c r="A127" i="5"/>
  <c r="H127" i="5" s="1"/>
  <c r="A128" i="5"/>
  <c r="E128" i="5" s="1"/>
  <c r="A129" i="5"/>
  <c r="L129" i="5" s="1"/>
  <c r="A130" i="5"/>
  <c r="K131" i="5" s="1"/>
  <c r="A131" i="5"/>
  <c r="K132" i="5" s="1"/>
  <c r="A132" i="5"/>
  <c r="B132" i="5" s="1"/>
  <c r="A133" i="5"/>
  <c r="J133" i="5" s="1"/>
  <c r="A134" i="5"/>
  <c r="I134" i="5" s="1"/>
  <c r="A135" i="5"/>
  <c r="E135" i="5" s="1"/>
  <c r="A136" i="5"/>
  <c r="F136" i="5" s="1"/>
  <c r="A137" i="5"/>
  <c r="B137" i="5" s="1"/>
  <c r="A138" i="5"/>
  <c r="C138" i="5" s="1"/>
  <c r="A139" i="5"/>
  <c r="H139" i="5" s="1"/>
  <c r="A140" i="5"/>
  <c r="E140" i="5" s="1"/>
  <c r="A141" i="5"/>
  <c r="L141" i="5" s="1"/>
  <c r="A142" i="5"/>
  <c r="K143" i="5" s="1"/>
  <c r="A143" i="5"/>
  <c r="K144" i="5" s="1"/>
  <c r="A144" i="5"/>
  <c r="G144" i="5" s="1"/>
  <c r="A145" i="5"/>
  <c r="I145" i="5" s="1"/>
  <c r="A146" i="5"/>
  <c r="K147" i="5" s="1"/>
  <c r="A147" i="5"/>
  <c r="D147" i="5" s="1"/>
  <c r="A148" i="5"/>
  <c r="G148" i="5" s="1"/>
  <c r="A149" i="5"/>
  <c r="C149" i="5" s="1"/>
  <c r="A150" i="5"/>
  <c r="F150" i="5" s="1"/>
  <c r="A151" i="5"/>
  <c r="H151" i="5" s="1"/>
  <c r="A152" i="5"/>
  <c r="E152" i="5" s="1"/>
  <c r="A153" i="5"/>
  <c r="A154" i="5"/>
  <c r="I154" i="5" s="1"/>
  <c r="A155" i="5"/>
  <c r="K156" i="5" s="1"/>
  <c r="A156" i="5"/>
  <c r="B156" i="5" s="1"/>
  <c r="A157" i="5"/>
  <c r="L157" i="5" s="1"/>
  <c r="A158" i="5"/>
  <c r="H158" i="5" s="1"/>
  <c r="A159" i="5"/>
  <c r="B159" i="5" s="1"/>
  <c r="A160" i="5"/>
  <c r="F160" i="5" s="1"/>
  <c r="A161" i="5"/>
  <c r="C161" i="5" s="1"/>
  <c r="A162" i="5"/>
  <c r="F162" i="5" s="1"/>
  <c r="A163" i="5"/>
  <c r="H163" i="5" s="1"/>
  <c r="A164" i="5"/>
  <c r="G164" i="5" s="1"/>
  <c r="A165" i="5"/>
  <c r="L165" i="5" s="1"/>
  <c r="A166" i="5"/>
  <c r="I166" i="5" s="1"/>
  <c r="A167" i="5"/>
  <c r="K168" i="5" s="1"/>
  <c r="A168" i="5"/>
  <c r="G168" i="5" s="1"/>
  <c r="A169" i="5"/>
  <c r="K170" i="5" s="1"/>
  <c r="A170" i="5"/>
  <c r="K171" i="5" s="1"/>
  <c r="A171" i="5"/>
  <c r="E171" i="5" s="1"/>
  <c r="A172" i="5"/>
  <c r="G172" i="5" s="1"/>
  <c r="A173" i="5"/>
  <c r="C173" i="5" s="1"/>
  <c r="A174" i="5"/>
  <c r="F174" i="5" s="1"/>
  <c r="A175" i="5"/>
  <c r="H175" i="5" s="1"/>
  <c r="A176" i="5"/>
  <c r="E176" i="5" s="1"/>
  <c r="A177" i="5"/>
  <c r="L177" i="5" s="1"/>
  <c r="A178" i="5"/>
  <c r="L178" i="5" s="1"/>
  <c r="A179" i="5"/>
  <c r="L179" i="5" s="1"/>
  <c r="A180" i="5"/>
  <c r="G180" i="5" s="1"/>
  <c r="A181" i="5"/>
  <c r="K182" i="5" s="1"/>
  <c r="A182" i="5"/>
  <c r="K183" i="5" s="1"/>
  <c r="A183" i="5"/>
  <c r="E183" i="5" s="1"/>
  <c r="A184" i="5"/>
  <c r="F184" i="5" s="1"/>
  <c r="A185" i="5"/>
  <c r="C185" i="5" s="1"/>
  <c r="A186" i="5"/>
  <c r="F186" i="5" s="1"/>
  <c r="A187" i="5"/>
  <c r="H187" i="5" s="1"/>
  <c r="A188" i="5"/>
  <c r="E188" i="5" s="1"/>
  <c r="A189" i="5"/>
  <c r="L189" i="5" s="1"/>
  <c r="A190" i="5"/>
  <c r="I190" i="5" s="1"/>
  <c r="A191" i="5"/>
  <c r="J191" i="5" s="1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H102" i="5" l="1"/>
  <c r="F171" i="5"/>
  <c r="L174" i="5"/>
  <c r="K153" i="5"/>
  <c r="F121" i="5"/>
  <c r="H63" i="5"/>
  <c r="I63" i="5"/>
  <c r="K152" i="5"/>
  <c r="K45" i="5"/>
  <c r="K104" i="5"/>
  <c r="K188" i="5"/>
  <c r="K103" i="5"/>
  <c r="K9" i="5"/>
  <c r="I124" i="5"/>
  <c r="J15" i="5"/>
  <c r="I65" i="5"/>
  <c r="H77" i="5"/>
  <c r="K67" i="5"/>
  <c r="F111" i="5"/>
  <c r="H54" i="5"/>
  <c r="I53" i="5"/>
  <c r="L78" i="5"/>
  <c r="K130" i="5"/>
  <c r="K44" i="5"/>
  <c r="K189" i="5"/>
  <c r="I125" i="5"/>
  <c r="K187" i="5"/>
  <c r="J20" i="5"/>
  <c r="K163" i="5"/>
  <c r="I123" i="5"/>
  <c r="K69" i="5"/>
  <c r="F172" i="5"/>
  <c r="J3" i="5"/>
  <c r="I64" i="5"/>
  <c r="L102" i="5"/>
  <c r="F88" i="5"/>
  <c r="H53" i="5"/>
  <c r="I49" i="5"/>
  <c r="L68" i="5"/>
  <c r="K129" i="5"/>
  <c r="K43" i="5"/>
  <c r="K94" i="5"/>
  <c r="H156" i="5"/>
  <c r="I106" i="5"/>
  <c r="K119" i="5"/>
  <c r="G125" i="5"/>
  <c r="H150" i="5"/>
  <c r="H101" i="5"/>
  <c r="H52" i="5"/>
  <c r="I173" i="5"/>
  <c r="I101" i="5"/>
  <c r="I48" i="5"/>
  <c r="J159" i="5"/>
  <c r="L168" i="5"/>
  <c r="L60" i="5"/>
  <c r="K177" i="5"/>
  <c r="K151" i="5"/>
  <c r="K118" i="5"/>
  <c r="K92" i="5"/>
  <c r="K59" i="5"/>
  <c r="K33" i="5"/>
  <c r="H186" i="5"/>
  <c r="H149" i="5"/>
  <c r="H99" i="5"/>
  <c r="H51" i="5"/>
  <c r="I170" i="5"/>
  <c r="I100" i="5"/>
  <c r="I41" i="5"/>
  <c r="J147" i="5"/>
  <c r="L142" i="5"/>
  <c r="L42" i="5"/>
  <c r="K176" i="5"/>
  <c r="K117" i="5"/>
  <c r="K91" i="5"/>
  <c r="K58" i="5"/>
  <c r="K32" i="5"/>
  <c r="K95" i="5"/>
  <c r="K178" i="5"/>
  <c r="K93" i="5"/>
  <c r="K34" i="5"/>
  <c r="H185" i="5"/>
  <c r="H147" i="5"/>
  <c r="H87" i="5"/>
  <c r="H30" i="5"/>
  <c r="I159" i="5"/>
  <c r="I99" i="5"/>
  <c r="I40" i="5"/>
  <c r="J116" i="5"/>
  <c r="L140" i="5"/>
  <c r="L37" i="5"/>
  <c r="K175" i="5"/>
  <c r="K142" i="5"/>
  <c r="K116" i="5"/>
  <c r="K83" i="5"/>
  <c r="K57" i="5"/>
  <c r="K31" i="5"/>
  <c r="J164" i="5"/>
  <c r="H184" i="5"/>
  <c r="H137" i="5"/>
  <c r="H86" i="5"/>
  <c r="H29" i="5"/>
  <c r="I156" i="5"/>
  <c r="I96" i="5"/>
  <c r="I39" i="5"/>
  <c r="J111" i="5"/>
  <c r="L138" i="5"/>
  <c r="L36" i="5"/>
  <c r="K167" i="5"/>
  <c r="K141" i="5"/>
  <c r="K115" i="5"/>
  <c r="K82" i="5"/>
  <c r="K56" i="5"/>
  <c r="K23" i="5"/>
  <c r="H108" i="5"/>
  <c r="I120" i="5"/>
  <c r="H183" i="5"/>
  <c r="H136" i="5"/>
  <c r="H84" i="5"/>
  <c r="H28" i="5"/>
  <c r="I149" i="5"/>
  <c r="I75" i="5"/>
  <c r="I17" i="5"/>
  <c r="J99" i="5"/>
  <c r="L106" i="5"/>
  <c r="L30" i="5"/>
  <c r="K166" i="5"/>
  <c r="K140" i="5"/>
  <c r="K81" i="5"/>
  <c r="K55" i="5"/>
  <c r="K22" i="5"/>
  <c r="H24" i="5"/>
  <c r="H60" i="5"/>
  <c r="K35" i="5"/>
  <c r="H174" i="5"/>
  <c r="H135" i="5"/>
  <c r="H79" i="5"/>
  <c r="H27" i="5"/>
  <c r="I148" i="5"/>
  <c r="I73" i="5"/>
  <c r="I16" i="5"/>
  <c r="J68" i="5"/>
  <c r="L105" i="5"/>
  <c r="K191" i="5"/>
  <c r="K165" i="5"/>
  <c r="K139" i="5"/>
  <c r="K47" i="5"/>
  <c r="K21" i="5"/>
  <c r="K179" i="5"/>
  <c r="B101" i="5"/>
  <c r="H173" i="5"/>
  <c r="H132" i="5"/>
  <c r="H78" i="5"/>
  <c r="H26" i="5"/>
  <c r="I130" i="5"/>
  <c r="I72" i="5"/>
  <c r="I15" i="5"/>
  <c r="J63" i="5"/>
  <c r="L104" i="5"/>
  <c r="K190" i="5"/>
  <c r="K164" i="5"/>
  <c r="K105" i="5"/>
  <c r="K79" i="5"/>
  <c r="K46" i="5"/>
  <c r="K20" i="5"/>
  <c r="J119" i="5"/>
  <c r="J104" i="5"/>
  <c r="F48" i="5"/>
  <c r="H126" i="5"/>
  <c r="H76" i="5"/>
  <c r="H48" i="5"/>
  <c r="I172" i="5"/>
  <c r="I147" i="5"/>
  <c r="I118" i="5"/>
  <c r="I34" i="5"/>
  <c r="J144" i="5"/>
  <c r="J96" i="5"/>
  <c r="J48" i="5"/>
  <c r="L190" i="5"/>
  <c r="L164" i="5"/>
  <c r="L126" i="5"/>
  <c r="L90" i="5"/>
  <c r="L59" i="5"/>
  <c r="L24" i="5"/>
  <c r="K186" i="5"/>
  <c r="K174" i="5"/>
  <c r="K162" i="5"/>
  <c r="K150" i="5"/>
  <c r="K138" i="5"/>
  <c r="K126" i="5"/>
  <c r="K114" i="5"/>
  <c r="K102" i="5"/>
  <c r="K90" i="5"/>
  <c r="K78" i="5"/>
  <c r="K66" i="5"/>
  <c r="K54" i="5"/>
  <c r="K42" i="5"/>
  <c r="K30" i="5"/>
  <c r="K18" i="5"/>
  <c r="J23" i="5"/>
  <c r="L166" i="5"/>
  <c r="L92" i="5"/>
  <c r="G171" i="5"/>
  <c r="H172" i="5"/>
  <c r="H148" i="5"/>
  <c r="H125" i="5"/>
  <c r="H100" i="5"/>
  <c r="H75" i="5"/>
  <c r="H18" i="5"/>
  <c r="I171" i="5"/>
  <c r="I137" i="5"/>
  <c r="I113" i="5"/>
  <c r="I89" i="5"/>
  <c r="I58" i="5"/>
  <c r="I29" i="5"/>
  <c r="J143" i="5"/>
  <c r="J95" i="5"/>
  <c r="J47" i="5"/>
  <c r="L162" i="5"/>
  <c r="L121" i="5"/>
  <c r="L85" i="5"/>
  <c r="L23" i="5"/>
  <c r="K185" i="5"/>
  <c r="K173" i="5"/>
  <c r="K161" i="5"/>
  <c r="K149" i="5"/>
  <c r="K137" i="5"/>
  <c r="K125" i="5"/>
  <c r="K113" i="5"/>
  <c r="K101" i="5"/>
  <c r="K89" i="5"/>
  <c r="K77" i="5"/>
  <c r="K65" i="5"/>
  <c r="K53" i="5"/>
  <c r="K41" i="5"/>
  <c r="K29" i="5"/>
  <c r="K17" i="5"/>
  <c r="J167" i="5"/>
  <c r="J152" i="5"/>
  <c r="H124" i="5"/>
  <c r="H72" i="5"/>
  <c r="H42" i="5"/>
  <c r="I136" i="5"/>
  <c r="I112" i="5"/>
  <c r="I88" i="5"/>
  <c r="I28" i="5"/>
  <c r="J188" i="5"/>
  <c r="J140" i="5"/>
  <c r="J92" i="5"/>
  <c r="J44" i="5"/>
  <c r="L188" i="5"/>
  <c r="L152" i="5"/>
  <c r="L120" i="5"/>
  <c r="L84" i="5"/>
  <c r="L56" i="5"/>
  <c r="K184" i="5"/>
  <c r="K172" i="5"/>
  <c r="K160" i="5"/>
  <c r="K148" i="5"/>
  <c r="K136" i="5"/>
  <c r="K124" i="5"/>
  <c r="K112" i="5"/>
  <c r="K100" i="5"/>
  <c r="K88" i="5"/>
  <c r="K76" i="5"/>
  <c r="K64" i="5"/>
  <c r="K52" i="5"/>
  <c r="K40" i="5"/>
  <c r="K28" i="5"/>
  <c r="K16" i="5"/>
  <c r="J71" i="5"/>
  <c r="I46" i="5"/>
  <c r="J8" i="5"/>
  <c r="L128" i="5"/>
  <c r="G87" i="5"/>
  <c r="H170" i="5"/>
  <c r="H146" i="5"/>
  <c r="H123" i="5"/>
  <c r="H90" i="5"/>
  <c r="H66" i="5"/>
  <c r="H41" i="5"/>
  <c r="H16" i="5"/>
  <c r="I169" i="5"/>
  <c r="I135" i="5"/>
  <c r="I111" i="5"/>
  <c r="I87" i="5"/>
  <c r="I52" i="5"/>
  <c r="I27" i="5"/>
  <c r="J183" i="5"/>
  <c r="J135" i="5"/>
  <c r="J87" i="5"/>
  <c r="J39" i="5"/>
  <c r="L186" i="5"/>
  <c r="L150" i="5"/>
  <c r="L119" i="5"/>
  <c r="L83" i="5"/>
  <c r="L54" i="5"/>
  <c r="K159" i="5"/>
  <c r="K135" i="5"/>
  <c r="K123" i="5"/>
  <c r="K111" i="5"/>
  <c r="K99" i="5"/>
  <c r="K63" i="5"/>
  <c r="K51" i="5"/>
  <c r="K39" i="5"/>
  <c r="K27" i="5"/>
  <c r="G75" i="5"/>
  <c r="H168" i="5"/>
  <c r="H144" i="5"/>
  <c r="H114" i="5"/>
  <c r="H89" i="5"/>
  <c r="H65" i="5"/>
  <c r="H40" i="5"/>
  <c r="H15" i="5"/>
  <c r="I168" i="5"/>
  <c r="I110" i="5"/>
  <c r="I77" i="5"/>
  <c r="I51" i="5"/>
  <c r="J176" i="5"/>
  <c r="J128" i="5"/>
  <c r="J80" i="5"/>
  <c r="J32" i="5"/>
  <c r="L181" i="5"/>
  <c r="L145" i="5"/>
  <c r="L116" i="5"/>
  <c r="L82" i="5"/>
  <c r="L20" i="5"/>
  <c r="K158" i="5"/>
  <c r="K146" i="5"/>
  <c r="K134" i="5"/>
  <c r="K110" i="5"/>
  <c r="K98" i="5"/>
  <c r="K74" i="5"/>
  <c r="K62" i="5"/>
  <c r="K26" i="5"/>
  <c r="K14" i="5"/>
  <c r="I178" i="5"/>
  <c r="C137" i="5"/>
  <c r="G65" i="5"/>
  <c r="H113" i="5"/>
  <c r="H88" i="5"/>
  <c r="H64" i="5"/>
  <c r="H39" i="5"/>
  <c r="H12" i="5"/>
  <c r="I161" i="5"/>
  <c r="I133" i="5"/>
  <c r="I76" i="5"/>
  <c r="J171" i="5"/>
  <c r="J123" i="5"/>
  <c r="J75" i="5"/>
  <c r="J27" i="5"/>
  <c r="L180" i="5"/>
  <c r="L144" i="5"/>
  <c r="L114" i="5"/>
  <c r="L18" i="5"/>
  <c r="K181" i="5"/>
  <c r="K169" i="5"/>
  <c r="K157" i="5"/>
  <c r="K145" i="5"/>
  <c r="K133" i="5"/>
  <c r="K121" i="5"/>
  <c r="K109" i="5"/>
  <c r="K97" i="5"/>
  <c r="K85" i="5"/>
  <c r="K73" i="5"/>
  <c r="K61" i="5"/>
  <c r="K49" i="5"/>
  <c r="K25" i="5"/>
  <c r="L167" i="5"/>
  <c r="J56" i="5"/>
  <c r="L32" i="5"/>
  <c r="H162" i="5"/>
  <c r="H138" i="5"/>
  <c r="H112" i="5"/>
  <c r="I160" i="5"/>
  <c r="I132" i="5"/>
  <c r="I108" i="5"/>
  <c r="J168" i="5"/>
  <c r="J120" i="5"/>
  <c r="J72" i="5"/>
  <c r="L176" i="5"/>
  <c r="L143" i="5"/>
  <c r="L107" i="5"/>
  <c r="L80" i="5"/>
  <c r="L44" i="5"/>
  <c r="L8" i="5"/>
  <c r="K8" i="5" s="1"/>
  <c r="K180" i="5"/>
  <c r="K36" i="5"/>
  <c r="G182" i="5"/>
  <c r="L182" i="5"/>
  <c r="F182" i="5"/>
  <c r="G146" i="5"/>
  <c r="L146" i="5"/>
  <c r="E86" i="5"/>
  <c r="L86" i="5"/>
  <c r="E74" i="5"/>
  <c r="L74" i="5"/>
  <c r="E14" i="5"/>
  <c r="L14" i="5"/>
  <c r="J86" i="5"/>
  <c r="B169" i="5"/>
  <c r="H169" i="5"/>
  <c r="E121" i="5"/>
  <c r="H121" i="5"/>
  <c r="B121" i="5"/>
  <c r="D85" i="5"/>
  <c r="H85" i="5"/>
  <c r="D25" i="5"/>
  <c r="H25" i="5"/>
  <c r="I146" i="5"/>
  <c r="J157" i="5"/>
  <c r="J85" i="5"/>
  <c r="J13" i="5"/>
  <c r="G36" i="5"/>
  <c r="I36" i="5"/>
  <c r="C24" i="5"/>
  <c r="I24" i="5"/>
  <c r="G12" i="5"/>
  <c r="I12" i="5"/>
  <c r="C133" i="5"/>
  <c r="H182" i="5"/>
  <c r="H120" i="5"/>
  <c r="H38" i="5"/>
  <c r="I84" i="5"/>
  <c r="I62" i="5"/>
  <c r="J180" i="5"/>
  <c r="J156" i="5"/>
  <c r="J132" i="5"/>
  <c r="J108" i="5"/>
  <c r="J84" i="5"/>
  <c r="J60" i="5"/>
  <c r="J36" i="5"/>
  <c r="J12" i="5"/>
  <c r="L96" i="5"/>
  <c r="G134" i="5"/>
  <c r="L134" i="5"/>
  <c r="D134" i="5"/>
  <c r="G50" i="5"/>
  <c r="L50" i="5"/>
  <c r="D181" i="5"/>
  <c r="G181" i="5"/>
  <c r="H181" i="5"/>
  <c r="F145" i="5"/>
  <c r="H145" i="5"/>
  <c r="F97" i="5"/>
  <c r="H97" i="5"/>
  <c r="E37" i="5"/>
  <c r="F37" i="5"/>
  <c r="H37" i="5"/>
  <c r="H122" i="5"/>
  <c r="J61" i="5"/>
  <c r="G191" i="5"/>
  <c r="H191" i="5"/>
  <c r="I191" i="5"/>
  <c r="F179" i="5"/>
  <c r="H179" i="5"/>
  <c r="I179" i="5"/>
  <c r="D167" i="5"/>
  <c r="H167" i="5"/>
  <c r="I167" i="5"/>
  <c r="B155" i="5"/>
  <c r="H155" i="5"/>
  <c r="I155" i="5"/>
  <c r="G143" i="5"/>
  <c r="H143" i="5"/>
  <c r="I143" i="5"/>
  <c r="B131" i="5"/>
  <c r="H131" i="5"/>
  <c r="I131" i="5"/>
  <c r="F119" i="5"/>
  <c r="H119" i="5"/>
  <c r="I119" i="5"/>
  <c r="F107" i="5"/>
  <c r="H107" i="5"/>
  <c r="I107" i="5"/>
  <c r="F95" i="5"/>
  <c r="H95" i="5"/>
  <c r="I95" i="5"/>
  <c r="G83" i="5"/>
  <c r="H83" i="5"/>
  <c r="I83" i="5"/>
  <c r="G71" i="5"/>
  <c r="H71" i="5"/>
  <c r="I71" i="5"/>
  <c r="F59" i="5"/>
  <c r="H59" i="5"/>
  <c r="I59" i="5"/>
  <c r="G47" i="5"/>
  <c r="H47" i="5"/>
  <c r="I47" i="5"/>
  <c r="F35" i="5"/>
  <c r="H35" i="5"/>
  <c r="I35" i="5"/>
  <c r="D23" i="5"/>
  <c r="H23" i="5"/>
  <c r="I23" i="5"/>
  <c r="F11" i="5"/>
  <c r="H11" i="5"/>
  <c r="I11" i="5"/>
  <c r="C108" i="5"/>
  <c r="G156" i="5"/>
  <c r="H180" i="5"/>
  <c r="H36" i="5"/>
  <c r="I144" i="5"/>
  <c r="I122" i="5"/>
  <c r="I14" i="5"/>
  <c r="J179" i="5"/>
  <c r="J155" i="5"/>
  <c r="J131" i="5"/>
  <c r="J107" i="5"/>
  <c r="J83" i="5"/>
  <c r="J59" i="5"/>
  <c r="J35" i="5"/>
  <c r="J11" i="5"/>
  <c r="L156" i="5"/>
  <c r="L95" i="5"/>
  <c r="L12" i="5"/>
  <c r="G110" i="5"/>
  <c r="L110" i="5"/>
  <c r="E2" i="5"/>
  <c r="B2" i="5"/>
  <c r="I86" i="5"/>
  <c r="J158" i="5"/>
  <c r="J62" i="5"/>
  <c r="G157" i="5"/>
  <c r="H157" i="5"/>
  <c r="G133" i="5"/>
  <c r="D133" i="5"/>
  <c r="H133" i="5"/>
  <c r="G109" i="5"/>
  <c r="H109" i="5"/>
  <c r="E73" i="5"/>
  <c r="H73" i="5"/>
  <c r="G73" i="5"/>
  <c r="C13" i="5"/>
  <c r="H13" i="5"/>
  <c r="I85" i="5"/>
  <c r="J181" i="5"/>
  <c r="J109" i="5"/>
  <c r="J37" i="5"/>
  <c r="G190" i="5"/>
  <c r="H190" i="5"/>
  <c r="J190" i="5"/>
  <c r="F178" i="5"/>
  <c r="H178" i="5"/>
  <c r="J178" i="5"/>
  <c r="H166" i="5"/>
  <c r="J166" i="5"/>
  <c r="F154" i="5"/>
  <c r="H154" i="5"/>
  <c r="J154" i="5"/>
  <c r="F142" i="5"/>
  <c r="H142" i="5"/>
  <c r="J142" i="5"/>
  <c r="D130" i="5"/>
  <c r="H130" i="5"/>
  <c r="J130" i="5"/>
  <c r="F118" i="5"/>
  <c r="H118" i="5"/>
  <c r="J118" i="5"/>
  <c r="H106" i="5"/>
  <c r="J106" i="5"/>
  <c r="F94" i="5"/>
  <c r="H94" i="5"/>
  <c r="J94" i="5"/>
  <c r="F82" i="5"/>
  <c r="H82" i="5"/>
  <c r="J82" i="5"/>
  <c r="F70" i="5"/>
  <c r="H70" i="5"/>
  <c r="J70" i="5"/>
  <c r="G58" i="5"/>
  <c r="H58" i="5"/>
  <c r="J58" i="5"/>
  <c r="F46" i="5"/>
  <c r="H46" i="5"/>
  <c r="J46" i="5"/>
  <c r="F34" i="5"/>
  <c r="H34" i="5"/>
  <c r="J34" i="5"/>
  <c r="B22" i="5"/>
  <c r="H22" i="5"/>
  <c r="I22" i="5"/>
  <c r="J22" i="5"/>
  <c r="F10" i="5"/>
  <c r="H10" i="5"/>
  <c r="I10" i="5"/>
  <c r="J10" i="5"/>
  <c r="C50" i="5"/>
  <c r="G145" i="5"/>
  <c r="H96" i="5"/>
  <c r="H14" i="5"/>
  <c r="I182" i="5"/>
  <c r="I142" i="5"/>
  <c r="I121" i="5"/>
  <c r="I60" i="5"/>
  <c r="I13" i="5"/>
  <c r="L155" i="5"/>
  <c r="L133" i="5"/>
  <c r="L94" i="5"/>
  <c r="L72" i="5"/>
  <c r="L11" i="5"/>
  <c r="G158" i="5"/>
  <c r="L158" i="5"/>
  <c r="E98" i="5"/>
  <c r="L98" i="5"/>
  <c r="E38" i="5"/>
  <c r="L38" i="5"/>
  <c r="F38" i="5"/>
  <c r="J14" i="5"/>
  <c r="F49" i="5"/>
  <c r="H49" i="5"/>
  <c r="G189" i="5"/>
  <c r="H189" i="5"/>
  <c r="I189" i="5"/>
  <c r="J189" i="5"/>
  <c r="H177" i="5"/>
  <c r="I177" i="5"/>
  <c r="J177" i="5"/>
  <c r="H165" i="5"/>
  <c r="I165" i="5"/>
  <c r="J165" i="5"/>
  <c r="G153" i="5"/>
  <c r="H153" i="5"/>
  <c r="I153" i="5"/>
  <c r="J153" i="5"/>
  <c r="H141" i="5"/>
  <c r="I141" i="5"/>
  <c r="J141" i="5"/>
  <c r="H129" i="5"/>
  <c r="I129" i="5"/>
  <c r="J129" i="5"/>
  <c r="G117" i="5"/>
  <c r="H117" i="5"/>
  <c r="I117" i="5"/>
  <c r="J117" i="5"/>
  <c r="H105" i="5"/>
  <c r="I105" i="5"/>
  <c r="J105" i="5"/>
  <c r="G81" i="5"/>
  <c r="H81" i="5"/>
  <c r="I81" i="5"/>
  <c r="J81" i="5"/>
  <c r="H69" i="5"/>
  <c r="I69" i="5"/>
  <c r="J69" i="5"/>
  <c r="H57" i="5"/>
  <c r="I57" i="5"/>
  <c r="J57" i="5"/>
  <c r="G45" i="5"/>
  <c r="H45" i="5"/>
  <c r="I45" i="5"/>
  <c r="J45" i="5"/>
  <c r="H33" i="5"/>
  <c r="I33" i="5"/>
  <c r="J33" i="5"/>
  <c r="G21" i="5"/>
  <c r="H21" i="5"/>
  <c r="I21" i="5"/>
  <c r="J21" i="5"/>
  <c r="H9" i="5"/>
  <c r="I9" i="5"/>
  <c r="J9" i="5"/>
  <c r="C49" i="5"/>
  <c r="H74" i="5"/>
  <c r="I181" i="5"/>
  <c r="I98" i="5"/>
  <c r="I37" i="5"/>
  <c r="L154" i="5"/>
  <c r="L132" i="5"/>
  <c r="L71" i="5"/>
  <c r="L49" i="5"/>
  <c r="L10" i="5"/>
  <c r="E170" i="5"/>
  <c r="L170" i="5"/>
  <c r="E26" i="5"/>
  <c r="L26" i="5"/>
  <c r="J38" i="5"/>
  <c r="E61" i="5"/>
  <c r="H61" i="5"/>
  <c r="G93" i="5"/>
  <c r="H93" i="5"/>
  <c r="I93" i="5"/>
  <c r="J93" i="5"/>
  <c r="H134" i="5"/>
  <c r="I180" i="5"/>
  <c r="I158" i="5"/>
  <c r="I97" i="5"/>
  <c r="J170" i="5"/>
  <c r="J146" i="5"/>
  <c r="J98" i="5"/>
  <c r="J74" i="5"/>
  <c r="J50" i="5"/>
  <c r="J26" i="5"/>
  <c r="J2" i="5"/>
  <c r="L2" i="5" s="1"/>
  <c r="K2" i="5" s="1"/>
  <c r="L153" i="5"/>
  <c r="L131" i="5"/>
  <c r="L109" i="5"/>
  <c r="L70" i="5"/>
  <c r="L48" i="5"/>
  <c r="L9" i="5"/>
  <c r="E122" i="5"/>
  <c r="L122" i="5"/>
  <c r="E62" i="5"/>
  <c r="L62" i="5"/>
  <c r="J182" i="5"/>
  <c r="J134" i="5"/>
  <c r="F2" i="5"/>
  <c r="I187" i="5"/>
  <c r="J187" i="5"/>
  <c r="L187" i="5"/>
  <c r="I175" i="5"/>
  <c r="J175" i="5"/>
  <c r="L175" i="5"/>
  <c r="C163" i="5"/>
  <c r="I163" i="5"/>
  <c r="J163" i="5"/>
  <c r="L163" i="5"/>
  <c r="I151" i="5"/>
  <c r="J151" i="5"/>
  <c r="L151" i="5"/>
  <c r="I139" i="5"/>
  <c r="J139" i="5"/>
  <c r="L139" i="5"/>
  <c r="I127" i="5"/>
  <c r="J127" i="5"/>
  <c r="L127" i="5"/>
  <c r="I115" i="5"/>
  <c r="J115" i="5"/>
  <c r="L115" i="5"/>
  <c r="I103" i="5"/>
  <c r="J103" i="5"/>
  <c r="L103" i="5"/>
  <c r="I91" i="5"/>
  <c r="J91" i="5"/>
  <c r="L91" i="5"/>
  <c r="C79" i="5"/>
  <c r="I79" i="5"/>
  <c r="J79" i="5"/>
  <c r="L79" i="5"/>
  <c r="I67" i="5"/>
  <c r="J67" i="5"/>
  <c r="L67" i="5"/>
  <c r="I55" i="5"/>
  <c r="J55" i="5"/>
  <c r="L55" i="5"/>
  <c r="C43" i="5"/>
  <c r="I43" i="5"/>
  <c r="J43" i="5"/>
  <c r="L43" i="5"/>
  <c r="I31" i="5"/>
  <c r="J31" i="5"/>
  <c r="L31" i="5"/>
  <c r="I19" i="5"/>
  <c r="J19" i="5"/>
  <c r="L19" i="5"/>
  <c r="I7" i="5"/>
  <c r="L7" i="5" s="1"/>
  <c r="K7" i="5" s="1"/>
  <c r="J7" i="5"/>
  <c r="F181" i="5"/>
  <c r="H67" i="5"/>
  <c r="H50" i="5"/>
  <c r="I157" i="5"/>
  <c r="I74" i="5"/>
  <c r="J169" i="5"/>
  <c r="J145" i="5"/>
  <c r="J121" i="5"/>
  <c r="J97" i="5"/>
  <c r="J73" i="5"/>
  <c r="J49" i="5"/>
  <c r="J25" i="5"/>
  <c r="L191" i="5"/>
  <c r="L169" i="5"/>
  <c r="L130" i="5"/>
  <c r="L108" i="5"/>
  <c r="L69" i="5"/>
  <c r="L47" i="5"/>
  <c r="L25" i="5"/>
  <c r="F51" i="5"/>
  <c r="L185" i="5"/>
  <c r="L173" i="5"/>
  <c r="L161" i="5"/>
  <c r="L149" i="5"/>
  <c r="L137" i="5"/>
  <c r="L125" i="5"/>
  <c r="L113" i="5"/>
  <c r="L101" i="5"/>
  <c r="L89" i="5"/>
  <c r="L77" i="5"/>
  <c r="L65" i="5"/>
  <c r="L53" i="5"/>
  <c r="L41" i="5"/>
  <c r="L29" i="5"/>
  <c r="L17" i="5"/>
  <c r="I188" i="5"/>
  <c r="I176" i="5"/>
  <c r="I164" i="5"/>
  <c r="I152" i="5"/>
  <c r="I140" i="5"/>
  <c r="I128" i="5"/>
  <c r="I116" i="5"/>
  <c r="I104" i="5"/>
  <c r="I92" i="5"/>
  <c r="I80" i="5"/>
  <c r="I68" i="5"/>
  <c r="I56" i="5"/>
  <c r="I44" i="5"/>
  <c r="I32" i="5"/>
  <c r="I20" i="5"/>
  <c r="I8" i="5"/>
  <c r="J186" i="5"/>
  <c r="J174" i="5"/>
  <c r="J162" i="5"/>
  <c r="J150" i="5"/>
  <c r="J138" i="5"/>
  <c r="J126" i="5"/>
  <c r="J114" i="5"/>
  <c r="J102" i="5"/>
  <c r="J90" i="5"/>
  <c r="J78" i="5"/>
  <c r="J66" i="5"/>
  <c r="J54" i="5"/>
  <c r="J42" i="5"/>
  <c r="J30" i="5"/>
  <c r="J18" i="5"/>
  <c r="J6" i="5"/>
  <c r="L184" i="5"/>
  <c r="L172" i="5"/>
  <c r="L160" i="5"/>
  <c r="L148" i="5"/>
  <c r="L136" i="5"/>
  <c r="L124" i="5"/>
  <c r="L112" i="5"/>
  <c r="L100" i="5"/>
  <c r="L88" i="5"/>
  <c r="L76" i="5"/>
  <c r="L64" i="5"/>
  <c r="L52" i="5"/>
  <c r="L40" i="5"/>
  <c r="L28" i="5"/>
  <c r="L16" i="5"/>
  <c r="L4" i="5"/>
  <c r="K4" i="5" s="1"/>
  <c r="F27" i="5"/>
  <c r="J185" i="5"/>
  <c r="J173" i="5"/>
  <c r="J161" i="5"/>
  <c r="J149" i="5"/>
  <c r="J137" i="5"/>
  <c r="J125" i="5"/>
  <c r="J113" i="5"/>
  <c r="J101" i="5"/>
  <c r="J89" i="5"/>
  <c r="J77" i="5"/>
  <c r="J65" i="5"/>
  <c r="J53" i="5"/>
  <c r="J41" i="5"/>
  <c r="J29" i="5"/>
  <c r="J17" i="5"/>
  <c r="J5" i="5"/>
  <c r="L5" i="5" s="1"/>
  <c r="K5" i="5" s="1"/>
  <c r="L183" i="5"/>
  <c r="L171" i="5"/>
  <c r="L159" i="5"/>
  <c r="L147" i="5"/>
  <c r="L135" i="5"/>
  <c r="L123" i="5"/>
  <c r="L111" i="5"/>
  <c r="L99" i="5"/>
  <c r="L87" i="5"/>
  <c r="L75" i="5"/>
  <c r="L63" i="5"/>
  <c r="L51" i="5"/>
  <c r="L39" i="5"/>
  <c r="L27" i="5"/>
  <c r="L15" i="5"/>
  <c r="L3" i="5"/>
  <c r="K3" i="5" s="1"/>
  <c r="H188" i="5"/>
  <c r="H176" i="5"/>
  <c r="H164" i="5"/>
  <c r="H152" i="5"/>
  <c r="H140" i="5"/>
  <c r="H128" i="5"/>
  <c r="H116" i="5"/>
  <c r="H104" i="5"/>
  <c r="H92" i="5"/>
  <c r="H80" i="5"/>
  <c r="H68" i="5"/>
  <c r="H44" i="5"/>
  <c r="I186" i="5"/>
  <c r="I174" i="5"/>
  <c r="I162" i="5"/>
  <c r="I150" i="5"/>
  <c r="I138" i="5"/>
  <c r="I126" i="5"/>
  <c r="I114" i="5"/>
  <c r="I102" i="5"/>
  <c r="I90" i="5"/>
  <c r="I78" i="5"/>
  <c r="I66" i="5"/>
  <c r="I54" i="5"/>
  <c r="I42" i="5"/>
  <c r="I30" i="5"/>
  <c r="I18" i="5"/>
  <c r="I6" i="5"/>
  <c r="J184" i="5"/>
  <c r="J172" i="5"/>
  <c r="J160" i="5"/>
  <c r="J148" i="5"/>
  <c r="J136" i="5"/>
  <c r="J124" i="5"/>
  <c r="J112" i="5"/>
  <c r="J100" i="5"/>
  <c r="J76" i="5"/>
  <c r="J64" i="5"/>
  <c r="J52" i="5"/>
  <c r="J40" i="5"/>
  <c r="J28" i="5"/>
  <c r="J16" i="5"/>
  <c r="G63" i="5"/>
  <c r="D97" i="5"/>
  <c r="F148" i="5"/>
  <c r="F86" i="5"/>
  <c r="F26" i="5"/>
  <c r="G123" i="5"/>
  <c r="G61" i="5"/>
  <c r="F92" i="5"/>
  <c r="F152" i="5"/>
  <c r="F87" i="5"/>
  <c r="C42" i="5"/>
  <c r="E157" i="5"/>
  <c r="F147" i="5"/>
  <c r="F85" i="5"/>
  <c r="F25" i="5"/>
  <c r="G121" i="5"/>
  <c r="G49" i="5"/>
  <c r="C37" i="5"/>
  <c r="E145" i="5"/>
  <c r="F146" i="5"/>
  <c r="F74" i="5"/>
  <c r="F14" i="5"/>
  <c r="G120" i="5"/>
  <c r="G37" i="5"/>
  <c r="B181" i="5"/>
  <c r="E109" i="5"/>
  <c r="F134" i="5"/>
  <c r="F64" i="5"/>
  <c r="G101" i="5"/>
  <c r="G29" i="5"/>
  <c r="B157" i="5"/>
  <c r="E97" i="5"/>
  <c r="F63" i="5"/>
  <c r="G188" i="5"/>
  <c r="G99" i="5"/>
  <c r="G27" i="5"/>
  <c r="C162" i="5"/>
  <c r="B145" i="5"/>
  <c r="E36" i="5"/>
  <c r="F123" i="5"/>
  <c r="F62" i="5"/>
  <c r="G185" i="5"/>
  <c r="G97" i="5"/>
  <c r="G25" i="5"/>
  <c r="C157" i="5"/>
  <c r="B125" i="5"/>
  <c r="F183" i="5"/>
  <c r="F122" i="5"/>
  <c r="F61" i="5"/>
  <c r="G183" i="5"/>
  <c r="G89" i="5"/>
  <c r="G24" i="5"/>
  <c r="G152" i="5"/>
  <c r="C126" i="5"/>
  <c r="C30" i="5"/>
  <c r="B97" i="5"/>
  <c r="D110" i="5"/>
  <c r="F170" i="5"/>
  <c r="F110" i="5"/>
  <c r="F76" i="5"/>
  <c r="F50" i="5"/>
  <c r="F16" i="5"/>
  <c r="G176" i="5"/>
  <c r="G149" i="5"/>
  <c r="G118" i="5"/>
  <c r="G85" i="5"/>
  <c r="G53" i="5"/>
  <c r="G23" i="5"/>
  <c r="F155" i="5"/>
  <c r="D131" i="5"/>
  <c r="G119" i="5"/>
  <c r="C109" i="5"/>
  <c r="C18" i="5"/>
  <c r="B89" i="5"/>
  <c r="D109" i="5"/>
  <c r="F169" i="5"/>
  <c r="F135" i="5"/>
  <c r="F109" i="5"/>
  <c r="F75" i="5"/>
  <c r="F15" i="5"/>
  <c r="G173" i="5"/>
  <c r="G147" i="5"/>
  <c r="G84" i="5"/>
  <c r="G22" i="5"/>
  <c r="F164" i="5"/>
  <c r="C102" i="5"/>
  <c r="B180" i="5"/>
  <c r="B29" i="5"/>
  <c r="D73" i="5"/>
  <c r="E25" i="5"/>
  <c r="F133" i="5"/>
  <c r="F73" i="5"/>
  <c r="F47" i="5"/>
  <c r="F13" i="5"/>
  <c r="G169" i="5"/>
  <c r="G140" i="5"/>
  <c r="G113" i="5"/>
  <c r="G82" i="5"/>
  <c r="G46" i="5"/>
  <c r="G17" i="5"/>
  <c r="E154" i="5"/>
  <c r="B82" i="5"/>
  <c r="C101" i="5"/>
  <c r="B179" i="5"/>
  <c r="B26" i="5"/>
  <c r="D26" i="5"/>
  <c r="F191" i="5"/>
  <c r="F159" i="5"/>
  <c r="F132" i="5"/>
  <c r="F99" i="5"/>
  <c r="F72" i="5"/>
  <c r="F3" i="5"/>
  <c r="G161" i="5"/>
  <c r="G137" i="5"/>
  <c r="G111" i="5"/>
  <c r="G15" i="5"/>
  <c r="G154" i="5"/>
  <c r="G116" i="5"/>
  <c r="C186" i="5"/>
  <c r="C97" i="5"/>
  <c r="B173" i="5"/>
  <c r="B25" i="5"/>
  <c r="F188" i="5"/>
  <c r="F158" i="5"/>
  <c r="F131" i="5"/>
  <c r="F98" i="5"/>
  <c r="F71" i="5"/>
  <c r="G159" i="5"/>
  <c r="G135" i="5"/>
  <c r="G80" i="5"/>
  <c r="G41" i="5"/>
  <c r="G13" i="5"/>
  <c r="G155" i="5"/>
  <c r="F104" i="5"/>
  <c r="C174" i="5"/>
  <c r="B17" i="5"/>
  <c r="D2" i="5"/>
  <c r="F157" i="5"/>
  <c r="F128" i="5"/>
  <c r="F39" i="5"/>
  <c r="G104" i="5"/>
  <c r="G77" i="5"/>
  <c r="G39" i="5"/>
  <c r="G5" i="5"/>
  <c r="G60" i="5"/>
  <c r="G96" i="5"/>
  <c r="E56" i="5"/>
  <c r="G56" i="5"/>
  <c r="E20" i="5"/>
  <c r="F20" i="5"/>
  <c r="G20" i="5"/>
  <c r="F143" i="5"/>
  <c r="F80" i="5"/>
  <c r="G34" i="5"/>
  <c r="F31" i="5"/>
  <c r="G31" i="5"/>
  <c r="D83" i="5"/>
  <c r="B83" i="5"/>
  <c r="C168" i="5"/>
  <c r="G132" i="5"/>
  <c r="G59" i="5"/>
  <c r="D106" i="5"/>
  <c r="F106" i="5"/>
  <c r="G131" i="5"/>
  <c r="E129" i="5"/>
  <c r="F129" i="5"/>
  <c r="D105" i="5"/>
  <c r="F105" i="5"/>
  <c r="E81" i="5"/>
  <c r="F81" i="5"/>
  <c r="D57" i="5"/>
  <c r="F57" i="5"/>
  <c r="E33" i="5"/>
  <c r="F33" i="5"/>
  <c r="D9" i="5"/>
  <c r="F9" i="5"/>
  <c r="B23" i="5"/>
  <c r="E131" i="5"/>
  <c r="F144" i="5"/>
  <c r="G94" i="5"/>
  <c r="F32" i="5"/>
  <c r="G32" i="5"/>
  <c r="E187" i="5"/>
  <c r="C187" i="5"/>
  <c r="F187" i="5"/>
  <c r="G187" i="5"/>
  <c r="E151" i="5"/>
  <c r="F151" i="5"/>
  <c r="G151" i="5"/>
  <c r="C151" i="5"/>
  <c r="F67" i="5"/>
  <c r="G67" i="5"/>
  <c r="B107" i="5"/>
  <c r="D58" i="5"/>
  <c r="F180" i="5"/>
  <c r="F56" i="5"/>
  <c r="F36" i="5"/>
  <c r="F12" i="5"/>
  <c r="G179" i="5"/>
  <c r="G107" i="5"/>
  <c r="G10" i="5"/>
  <c r="E191" i="5"/>
  <c r="D191" i="5"/>
  <c r="F168" i="5"/>
  <c r="E190" i="5"/>
  <c r="F190" i="5"/>
  <c r="E166" i="5"/>
  <c r="D166" i="5"/>
  <c r="F166" i="5"/>
  <c r="B130" i="5"/>
  <c r="F130" i="5"/>
  <c r="D22" i="5"/>
  <c r="F22" i="5"/>
  <c r="E132" i="5"/>
  <c r="F167" i="5"/>
  <c r="F84" i="5"/>
  <c r="D189" i="5"/>
  <c r="F189" i="5"/>
  <c r="E165" i="5"/>
  <c r="F165" i="5"/>
  <c r="D141" i="5"/>
  <c r="F141" i="5"/>
  <c r="E117" i="5"/>
  <c r="F117" i="5"/>
  <c r="D69" i="5"/>
  <c r="F69" i="5"/>
  <c r="E45" i="5"/>
  <c r="F45" i="5"/>
  <c r="D21" i="5"/>
  <c r="F21" i="5"/>
  <c r="F83" i="5"/>
  <c r="G166" i="5"/>
  <c r="G130" i="5"/>
  <c r="G57" i="5"/>
  <c r="G35" i="5"/>
  <c r="E68" i="5"/>
  <c r="G68" i="5"/>
  <c r="E44" i="5"/>
  <c r="G44" i="5"/>
  <c r="F8" i="5"/>
  <c r="G8" i="5"/>
  <c r="E130" i="5"/>
  <c r="G165" i="5"/>
  <c r="G129" i="5"/>
  <c r="E175" i="5"/>
  <c r="F175" i="5"/>
  <c r="G175" i="5"/>
  <c r="C127" i="5"/>
  <c r="F127" i="5"/>
  <c r="G127" i="5"/>
  <c r="E127" i="5"/>
  <c r="F103" i="5"/>
  <c r="G103" i="5"/>
  <c r="F43" i="5"/>
  <c r="G43" i="5"/>
  <c r="C7" i="5"/>
  <c r="F7" i="5"/>
  <c r="G7" i="5"/>
  <c r="G108" i="5"/>
  <c r="G92" i="5"/>
  <c r="G72" i="5"/>
  <c r="G11" i="5"/>
  <c r="B106" i="5"/>
  <c r="D190" i="5"/>
  <c r="D33" i="5"/>
  <c r="F116" i="5"/>
  <c r="G178" i="5"/>
  <c r="G142" i="5"/>
  <c r="G106" i="5"/>
  <c r="G70" i="5"/>
  <c r="G9" i="5"/>
  <c r="F108" i="5"/>
  <c r="F24" i="5"/>
  <c r="F23" i="5"/>
  <c r="B58" i="5"/>
  <c r="F58" i="5"/>
  <c r="G167" i="5"/>
  <c r="G95" i="5"/>
  <c r="D177" i="5"/>
  <c r="F177" i="5"/>
  <c r="E153" i="5"/>
  <c r="F153" i="5"/>
  <c r="E93" i="5"/>
  <c r="F93" i="5"/>
  <c r="F163" i="5"/>
  <c r="G163" i="5"/>
  <c r="E139" i="5"/>
  <c r="F139" i="5"/>
  <c r="G139" i="5"/>
  <c r="E115" i="5"/>
  <c r="F115" i="5"/>
  <c r="G115" i="5"/>
  <c r="F91" i="5"/>
  <c r="G91" i="5"/>
  <c r="C91" i="5"/>
  <c r="F79" i="5"/>
  <c r="G79" i="5"/>
  <c r="C55" i="5"/>
  <c r="F55" i="5"/>
  <c r="G55" i="5"/>
  <c r="F19" i="5"/>
  <c r="C19" i="5"/>
  <c r="G19" i="5"/>
  <c r="D59" i="5"/>
  <c r="F140" i="5"/>
  <c r="G128" i="5"/>
  <c r="G33" i="5"/>
  <c r="C184" i="5"/>
  <c r="G184" i="5"/>
  <c r="B160" i="5"/>
  <c r="G160" i="5"/>
  <c r="C136" i="5"/>
  <c r="G136" i="5"/>
  <c r="C124" i="5"/>
  <c r="G124" i="5"/>
  <c r="C100" i="5"/>
  <c r="G100" i="5"/>
  <c r="B88" i="5"/>
  <c r="G88" i="5"/>
  <c r="B52" i="5"/>
  <c r="G52" i="5"/>
  <c r="C40" i="5"/>
  <c r="G40" i="5"/>
  <c r="C4" i="5"/>
  <c r="G4" i="5"/>
  <c r="D142" i="5"/>
  <c r="F176" i="5"/>
  <c r="F156" i="5"/>
  <c r="F112" i="5"/>
  <c r="F28" i="5"/>
  <c r="F4" i="5"/>
  <c r="G177" i="5"/>
  <c r="G141" i="5"/>
  <c r="G105" i="5"/>
  <c r="G69" i="5"/>
  <c r="C150" i="5"/>
  <c r="C90" i="5"/>
  <c r="G186" i="5"/>
  <c r="G174" i="5"/>
  <c r="G162" i="5"/>
  <c r="G150" i="5"/>
  <c r="G138" i="5"/>
  <c r="G126" i="5"/>
  <c r="G114" i="5"/>
  <c r="G102" i="5"/>
  <c r="G90" i="5"/>
  <c r="G78" i="5"/>
  <c r="G66" i="5"/>
  <c r="G54" i="5"/>
  <c r="G42" i="5"/>
  <c r="G30" i="5"/>
  <c r="G18" i="5"/>
  <c r="G6" i="5"/>
  <c r="C134" i="5"/>
  <c r="C78" i="5"/>
  <c r="B65" i="5"/>
  <c r="F138" i="5"/>
  <c r="F114" i="5"/>
  <c r="F66" i="5"/>
  <c r="F54" i="5"/>
  <c r="F6" i="5"/>
  <c r="G3" i="5"/>
  <c r="C65" i="5"/>
  <c r="B53" i="5"/>
  <c r="F185" i="5"/>
  <c r="F173" i="5"/>
  <c r="F161" i="5"/>
  <c r="F149" i="5"/>
  <c r="F137" i="5"/>
  <c r="F125" i="5"/>
  <c r="F113" i="5"/>
  <c r="F89" i="5"/>
  <c r="F77" i="5"/>
  <c r="F53" i="5"/>
  <c r="F29" i="5"/>
  <c r="F17" i="5"/>
  <c r="F5" i="5"/>
  <c r="G170" i="5"/>
  <c r="G122" i="5"/>
  <c r="G98" i="5"/>
  <c r="G86" i="5"/>
  <c r="G74" i="5"/>
  <c r="G62" i="5"/>
  <c r="G38" i="5"/>
  <c r="G26" i="5"/>
  <c r="G14" i="5"/>
  <c r="G2" i="5"/>
  <c r="C74" i="5"/>
  <c r="C48" i="5"/>
  <c r="B74" i="5"/>
  <c r="B50" i="5"/>
  <c r="D158" i="5"/>
  <c r="D108" i="5"/>
  <c r="D50" i="5"/>
  <c r="E156" i="5"/>
  <c r="E107" i="5"/>
  <c r="E71" i="5"/>
  <c r="E35" i="5"/>
  <c r="C158" i="5"/>
  <c r="C132" i="5"/>
  <c r="C73" i="5"/>
  <c r="C14" i="5"/>
  <c r="B178" i="5"/>
  <c r="B154" i="5"/>
  <c r="B98" i="5"/>
  <c r="B73" i="5"/>
  <c r="B49" i="5"/>
  <c r="B24" i="5"/>
  <c r="D182" i="5"/>
  <c r="D157" i="5"/>
  <c r="D132" i="5"/>
  <c r="D107" i="5"/>
  <c r="D82" i="5"/>
  <c r="D49" i="5"/>
  <c r="D24" i="5"/>
  <c r="E181" i="5"/>
  <c r="E155" i="5"/>
  <c r="E106" i="5"/>
  <c r="E70" i="5"/>
  <c r="E34" i="5"/>
  <c r="C98" i="5"/>
  <c r="B48" i="5"/>
  <c r="D156" i="5"/>
  <c r="D48" i="5"/>
  <c r="B47" i="5"/>
  <c r="D155" i="5"/>
  <c r="D98" i="5"/>
  <c r="D47" i="5"/>
  <c r="E60" i="5"/>
  <c r="C181" i="5"/>
  <c r="C122" i="5"/>
  <c r="C96" i="5"/>
  <c r="B95" i="5"/>
  <c r="D122" i="5"/>
  <c r="D72" i="5"/>
  <c r="D46" i="5"/>
  <c r="E178" i="5"/>
  <c r="E120" i="5"/>
  <c r="E59" i="5"/>
  <c r="C180" i="5"/>
  <c r="C121" i="5"/>
  <c r="C62" i="5"/>
  <c r="C36" i="5"/>
  <c r="B168" i="5"/>
  <c r="B143" i="5"/>
  <c r="B119" i="5"/>
  <c r="B94" i="5"/>
  <c r="B38" i="5"/>
  <c r="B14" i="5"/>
  <c r="D178" i="5"/>
  <c r="D153" i="5"/>
  <c r="D121" i="5"/>
  <c r="D96" i="5"/>
  <c r="D71" i="5"/>
  <c r="D38" i="5"/>
  <c r="D13" i="5"/>
  <c r="E177" i="5"/>
  <c r="E143" i="5"/>
  <c r="E119" i="5"/>
  <c r="E94" i="5"/>
  <c r="E58" i="5"/>
  <c r="E22" i="5"/>
  <c r="C72" i="5"/>
  <c r="B146" i="5"/>
  <c r="B72" i="5"/>
  <c r="C182" i="5"/>
  <c r="C12" i="5"/>
  <c r="B71" i="5"/>
  <c r="D180" i="5"/>
  <c r="E96" i="5"/>
  <c r="C146" i="5"/>
  <c r="C120" i="5"/>
  <c r="C61" i="5"/>
  <c r="B167" i="5"/>
  <c r="B13" i="5"/>
  <c r="D146" i="5"/>
  <c r="D70" i="5"/>
  <c r="D12" i="5"/>
  <c r="E142" i="5"/>
  <c r="E13" i="5"/>
  <c r="C145" i="5"/>
  <c r="C115" i="5"/>
  <c r="C86" i="5"/>
  <c r="C60" i="5"/>
  <c r="B191" i="5"/>
  <c r="B166" i="5"/>
  <c r="B110" i="5"/>
  <c r="B86" i="5"/>
  <c r="B61" i="5"/>
  <c r="B36" i="5"/>
  <c r="B12" i="5"/>
  <c r="D170" i="5"/>
  <c r="D145" i="5"/>
  <c r="D119" i="5"/>
  <c r="D94" i="5"/>
  <c r="D62" i="5"/>
  <c r="D36" i="5"/>
  <c r="D11" i="5"/>
  <c r="E169" i="5"/>
  <c r="E84" i="5"/>
  <c r="E48" i="5"/>
  <c r="E12" i="5"/>
  <c r="B122" i="5"/>
  <c r="D74" i="5"/>
  <c r="B142" i="5"/>
  <c r="B37" i="5"/>
  <c r="D120" i="5"/>
  <c r="D37" i="5"/>
  <c r="E85" i="5"/>
  <c r="C170" i="5"/>
  <c r="C144" i="5"/>
  <c r="C85" i="5"/>
  <c r="C26" i="5"/>
  <c r="B190" i="5"/>
  <c r="B161" i="5"/>
  <c r="B134" i="5"/>
  <c r="B109" i="5"/>
  <c r="B85" i="5"/>
  <c r="B60" i="5"/>
  <c r="B35" i="5"/>
  <c r="B11" i="5"/>
  <c r="D169" i="5"/>
  <c r="D144" i="5"/>
  <c r="D118" i="5"/>
  <c r="D93" i="5"/>
  <c r="D61" i="5"/>
  <c r="D35" i="5"/>
  <c r="D10" i="5"/>
  <c r="E168" i="5"/>
  <c r="E83" i="5"/>
  <c r="E47" i="5"/>
  <c r="E11" i="5"/>
  <c r="E180" i="5"/>
  <c r="C156" i="5"/>
  <c r="C38" i="5"/>
  <c r="B170" i="5"/>
  <c r="B96" i="5"/>
  <c r="E179" i="5"/>
  <c r="E24" i="5"/>
  <c r="B144" i="5"/>
  <c r="B120" i="5"/>
  <c r="B70" i="5"/>
  <c r="B46" i="5"/>
  <c r="D179" i="5"/>
  <c r="D154" i="5"/>
  <c r="D14" i="5"/>
  <c r="E144" i="5"/>
  <c r="E95" i="5"/>
  <c r="E23" i="5"/>
  <c r="C2" i="5"/>
  <c r="B118" i="5"/>
  <c r="B62" i="5"/>
  <c r="D95" i="5"/>
  <c r="E118" i="5"/>
  <c r="E49" i="5"/>
  <c r="C169" i="5"/>
  <c r="C110" i="5"/>
  <c r="C84" i="5"/>
  <c r="C25" i="5"/>
  <c r="B182" i="5"/>
  <c r="B158" i="5"/>
  <c r="B133" i="5"/>
  <c r="B108" i="5"/>
  <c r="B84" i="5"/>
  <c r="B59" i="5"/>
  <c r="B34" i="5"/>
  <c r="B10" i="5"/>
  <c r="D168" i="5"/>
  <c r="D143" i="5"/>
  <c r="D111" i="5"/>
  <c r="D86" i="5"/>
  <c r="D60" i="5"/>
  <c r="D34" i="5"/>
  <c r="E167" i="5"/>
  <c r="E133" i="5"/>
  <c r="E82" i="5"/>
  <c r="E46" i="5"/>
  <c r="E10" i="5"/>
  <c r="D148" i="5"/>
  <c r="E148" i="5"/>
  <c r="D76" i="5"/>
  <c r="E76" i="5"/>
  <c r="D16" i="5"/>
  <c r="E16" i="5"/>
  <c r="E51" i="5"/>
  <c r="B183" i="5"/>
  <c r="C172" i="5"/>
  <c r="C171" i="5"/>
  <c r="C135" i="5"/>
  <c r="C27" i="5"/>
  <c r="D3" i="5"/>
  <c r="E69" i="5"/>
  <c r="E21" i="5"/>
  <c r="C41" i="5"/>
  <c r="B123" i="5"/>
  <c r="B87" i="5"/>
  <c r="B51" i="5"/>
  <c r="B15" i="5"/>
  <c r="D123" i="5"/>
  <c r="D45" i="5"/>
  <c r="D112" i="5"/>
  <c r="E112" i="5"/>
  <c r="D28" i="5"/>
  <c r="E28" i="5"/>
  <c r="B184" i="5"/>
  <c r="B39" i="5"/>
  <c r="C64" i="5"/>
  <c r="C28" i="5"/>
  <c r="D87" i="5"/>
  <c r="C99" i="5"/>
  <c r="C63" i="5"/>
  <c r="B124" i="5"/>
  <c r="B16" i="5"/>
  <c r="D129" i="5"/>
  <c r="D63" i="5"/>
  <c r="C148" i="5"/>
  <c r="C112" i="5"/>
  <c r="C76" i="5"/>
  <c r="D183" i="5"/>
  <c r="D39" i="5"/>
  <c r="D160" i="5"/>
  <c r="E160" i="5"/>
  <c r="D100" i="5"/>
  <c r="E100" i="5"/>
  <c r="D52" i="5"/>
  <c r="E52" i="5"/>
  <c r="B76" i="5"/>
  <c r="E147" i="5"/>
  <c r="B75" i="5"/>
  <c r="C129" i="5"/>
  <c r="B129" i="5"/>
  <c r="C105" i="5"/>
  <c r="B105" i="5"/>
  <c r="C69" i="5"/>
  <c r="B69" i="5"/>
  <c r="C45" i="5"/>
  <c r="B45" i="5"/>
  <c r="C9" i="5"/>
  <c r="B9" i="5"/>
  <c r="C147" i="5"/>
  <c r="C3" i="5"/>
  <c r="C164" i="5"/>
  <c r="B164" i="5"/>
  <c r="D164" i="5"/>
  <c r="C92" i="5"/>
  <c r="D92" i="5"/>
  <c r="B92" i="5"/>
  <c r="B100" i="5"/>
  <c r="B64" i="5"/>
  <c r="B163" i="5"/>
  <c r="D163" i="5"/>
  <c r="B139" i="5"/>
  <c r="D139" i="5"/>
  <c r="B127" i="5"/>
  <c r="D127" i="5"/>
  <c r="B115" i="5"/>
  <c r="D115" i="5"/>
  <c r="B79" i="5"/>
  <c r="E79" i="5"/>
  <c r="D79" i="5"/>
  <c r="E43" i="5"/>
  <c r="B43" i="5"/>
  <c r="D43" i="5"/>
  <c r="B7" i="5"/>
  <c r="E7" i="5"/>
  <c r="D7" i="5"/>
  <c r="B171" i="5"/>
  <c r="B135" i="5"/>
  <c r="B27" i="5"/>
  <c r="D75" i="5"/>
  <c r="E57" i="5"/>
  <c r="D184" i="5"/>
  <c r="E184" i="5"/>
  <c r="D136" i="5"/>
  <c r="E136" i="5"/>
  <c r="D88" i="5"/>
  <c r="E88" i="5"/>
  <c r="D40" i="5"/>
  <c r="E40" i="5"/>
  <c r="B40" i="5"/>
  <c r="E99" i="5"/>
  <c r="B3" i="5"/>
  <c r="D27" i="5"/>
  <c r="C189" i="5"/>
  <c r="B189" i="5"/>
  <c r="C165" i="5"/>
  <c r="B165" i="5"/>
  <c r="C141" i="5"/>
  <c r="B141" i="5"/>
  <c r="C81" i="5"/>
  <c r="B81" i="5"/>
  <c r="C183" i="5"/>
  <c r="D99" i="5"/>
  <c r="C188" i="5"/>
  <c r="D188" i="5"/>
  <c r="B188" i="5"/>
  <c r="C152" i="5"/>
  <c r="D152" i="5"/>
  <c r="B152" i="5"/>
  <c r="C128" i="5"/>
  <c r="D128" i="5"/>
  <c r="B128" i="5"/>
  <c r="C104" i="5"/>
  <c r="D104" i="5"/>
  <c r="B104" i="5"/>
  <c r="C68" i="5"/>
  <c r="D68" i="5"/>
  <c r="B68" i="5"/>
  <c r="C44" i="5"/>
  <c r="D44" i="5"/>
  <c r="B44" i="5"/>
  <c r="C20" i="5"/>
  <c r="B20" i="5"/>
  <c r="D20" i="5"/>
  <c r="B172" i="5"/>
  <c r="B136" i="5"/>
  <c r="B28" i="5"/>
  <c r="D81" i="5"/>
  <c r="E105" i="5"/>
  <c r="B187" i="5"/>
  <c r="D187" i="5"/>
  <c r="B175" i="5"/>
  <c r="D175" i="5"/>
  <c r="B151" i="5"/>
  <c r="D151" i="5"/>
  <c r="B103" i="5"/>
  <c r="D103" i="5"/>
  <c r="E91" i="5"/>
  <c r="B91" i="5"/>
  <c r="D91" i="5"/>
  <c r="E67" i="5"/>
  <c r="B67" i="5"/>
  <c r="D67" i="5"/>
  <c r="B55" i="5"/>
  <c r="D55" i="5"/>
  <c r="B31" i="5"/>
  <c r="E31" i="5"/>
  <c r="D31" i="5"/>
  <c r="B19" i="5"/>
  <c r="D19" i="5"/>
  <c r="E19" i="5"/>
  <c r="B186" i="5"/>
  <c r="E186" i="5"/>
  <c r="D186" i="5"/>
  <c r="B174" i="5"/>
  <c r="E174" i="5"/>
  <c r="D174" i="5"/>
  <c r="B162" i="5"/>
  <c r="E162" i="5"/>
  <c r="D162" i="5"/>
  <c r="B150" i="5"/>
  <c r="D150" i="5"/>
  <c r="E150" i="5"/>
  <c r="B138" i="5"/>
  <c r="E138" i="5"/>
  <c r="D138" i="5"/>
  <c r="B126" i="5"/>
  <c r="E126" i="5"/>
  <c r="D126" i="5"/>
  <c r="B114" i="5"/>
  <c r="E114" i="5"/>
  <c r="D114" i="5"/>
  <c r="B102" i="5"/>
  <c r="E102" i="5"/>
  <c r="D102" i="5"/>
  <c r="B90" i="5"/>
  <c r="E90" i="5"/>
  <c r="D90" i="5"/>
  <c r="B78" i="5"/>
  <c r="E78" i="5"/>
  <c r="D78" i="5"/>
  <c r="B66" i="5"/>
  <c r="E66" i="5"/>
  <c r="D66" i="5"/>
  <c r="B54" i="5"/>
  <c r="E54" i="5"/>
  <c r="D54" i="5"/>
  <c r="B42" i="5"/>
  <c r="D42" i="5"/>
  <c r="E42" i="5"/>
  <c r="B30" i="5"/>
  <c r="D30" i="5"/>
  <c r="E30" i="5"/>
  <c r="B18" i="5"/>
  <c r="E18" i="5"/>
  <c r="D18" i="5"/>
  <c r="B6" i="5"/>
  <c r="E6" i="5"/>
  <c r="D6" i="5"/>
  <c r="C160" i="5"/>
  <c r="C88" i="5"/>
  <c r="C52" i="5"/>
  <c r="C16" i="5"/>
  <c r="D135" i="5"/>
  <c r="E164" i="5"/>
  <c r="E103" i="5"/>
  <c r="E9" i="5"/>
  <c r="D172" i="5"/>
  <c r="E172" i="5"/>
  <c r="D124" i="5"/>
  <c r="E124" i="5"/>
  <c r="D64" i="5"/>
  <c r="E64" i="5"/>
  <c r="D4" i="5"/>
  <c r="E4" i="5"/>
  <c r="B148" i="5"/>
  <c r="B112" i="5"/>
  <c r="B4" i="5"/>
  <c r="E159" i="5"/>
  <c r="E111" i="5"/>
  <c r="E63" i="5"/>
  <c r="E15" i="5"/>
  <c r="B147" i="5"/>
  <c r="D171" i="5"/>
  <c r="C177" i="5"/>
  <c r="B177" i="5"/>
  <c r="C153" i="5"/>
  <c r="B153" i="5"/>
  <c r="C117" i="5"/>
  <c r="B117" i="5"/>
  <c r="C93" i="5"/>
  <c r="B93" i="5"/>
  <c r="C57" i="5"/>
  <c r="B57" i="5"/>
  <c r="C33" i="5"/>
  <c r="B33" i="5"/>
  <c r="C21" i="5"/>
  <c r="B21" i="5"/>
  <c r="C111" i="5"/>
  <c r="C75" i="5"/>
  <c r="C39" i="5"/>
  <c r="D165" i="5"/>
  <c r="E189" i="5"/>
  <c r="C176" i="5"/>
  <c r="B176" i="5"/>
  <c r="D176" i="5"/>
  <c r="C140" i="5"/>
  <c r="D140" i="5"/>
  <c r="B140" i="5"/>
  <c r="C116" i="5"/>
  <c r="B116" i="5"/>
  <c r="D116" i="5"/>
  <c r="C80" i="5"/>
  <c r="B80" i="5"/>
  <c r="D80" i="5"/>
  <c r="C56" i="5"/>
  <c r="D56" i="5"/>
  <c r="B56" i="5"/>
  <c r="C32" i="5"/>
  <c r="D32" i="5"/>
  <c r="B32" i="5"/>
  <c r="C8" i="5"/>
  <c r="D8" i="5"/>
  <c r="B8" i="5"/>
  <c r="D159" i="5"/>
  <c r="D185" i="5"/>
  <c r="E185" i="5"/>
  <c r="D173" i="5"/>
  <c r="E173" i="5"/>
  <c r="D161" i="5"/>
  <c r="E161" i="5"/>
  <c r="D149" i="5"/>
  <c r="E149" i="5"/>
  <c r="D137" i="5"/>
  <c r="E137" i="5"/>
  <c r="D125" i="5"/>
  <c r="E125" i="5"/>
  <c r="D113" i="5"/>
  <c r="E113" i="5"/>
  <c r="D101" i="5"/>
  <c r="E101" i="5"/>
  <c r="D89" i="5"/>
  <c r="E89" i="5"/>
  <c r="D77" i="5"/>
  <c r="E77" i="5"/>
  <c r="D65" i="5"/>
  <c r="E65" i="5"/>
  <c r="D53" i="5"/>
  <c r="E53" i="5"/>
  <c r="D41" i="5"/>
  <c r="E41" i="5"/>
  <c r="D29" i="5"/>
  <c r="E29" i="5"/>
  <c r="D17" i="5"/>
  <c r="E17" i="5"/>
  <c r="D5" i="5"/>
  <c r="E5" i="5"/>
  <c r="C175" i="5"/>
  <c r="C159" i="5"/>
  <c r="C139" i="5"/>
  <c r="C123" i="5"/>
  <c r="C103" i="5"/>
  <c r="C87" i="5"/>
  <c r="C67" i="5"/>
  <c r="C51" i="5"/>
  <c r="C31" i="5"/>
  <c r="C15" i="5"/>
  <c r="B185" i="5"/>
  <c r="B149" i="5"/>
  <c r="B113" i="5"/>
  <c r="B77" i="5"/>
  <c r="B41" i="5"/>
  <c r="B5" i="5"/>
  <c r="D117" i="5"/>
  <c r="D51" i="5"/>
  <c r="E163" i="5"/>
  <c r="E141" i="5"/>
  <c r="E55" i="5"/>
  <c r="E32" i="5"/>
  <c r="E8" i="5"/>
  <c r="C191" i="5"/>
  <c r="C179" i="5"/>
  <c r="C167" i="5"/>
  <c r="C155" i="5"/>
  <c r="C143" i="5"/>
  <c r="C131" i="5"/>
  <c r="C119" i="5"/>
  <c r="C107" i="5"/>
  <c r="C95" i="5"/>
  <c r="C83" i="5"/>
  <c r="C71" i="5"/>
  <c r="C59" i="5"/>
  <c r="C47" i="5"/>
  <c r="C35" i="5"/>
  <c r="C23" i="5"/>
  <c r="C11" i="5"/>
  <c r="C190" i="5"/>
  <c r="C178" i="5"/>
  <c r="C166" i="5"/>
  <c r="C154" i="5"/>
  <c r="C142" i="5"/>
  <c r="C130" i="5"/>
  <c r="C118" i="5"/>
  <c r="C106" i="5"/>
  <c r="C94" i="5"/>
  <c r="C82" i="5"/>
  <c r="C70" i="5"/>
  <c r="C58" i="5"/>
  <c r="C46" i="5"/>
  <c r="C34" i="5"/>
  <c r="C22" i="5"/>
  <c r="C10" i="5"/>
  <c r="E182" i="5"/>
  <c r="E158" i="5"/>
  <c r="E146" i="5"/>
  <c r="E134" i="5"/>
  <c r="E110" i="5"/>
  <c r="E50" i="5"/>
  <c r="H3" i="5" l="1"/>
  <c r="H6" i="5"/>
  <c r="H7" i="5"/>
  <c r="H4" i="5"/>
  <c r="H2" i="5"/>
  <c r="H5" i="5"/>
  <c r="L6" i="5"/>
  <c r="K6" i="5" s="1"/>
</calcChain>
</file>

<file path=xl/sharedStrings.xml><?xml version="1.0" encoding="utf-8"?>
<sst xmlns="http://schemas.openxmlformats.org/spreadsheetml/2006/main" count="53" uniqueCount="28">
  <si>
    <t>Product ID</t>
  </si>
  <si>
    <t>Description</t>
  </si>
  <si>
    <t>Category</t>
  </si>
  <si>
    <t xml:space="preserve">Unit </t>
  </si>
  <si>
    <t>RSP</t>
  </si>
  <si>
    <t>SN</t>
  </si>
  <si>
    <t>Date</t>
  </si>
  <si>
    <t>FRUITS</t>
  </si>
  <si>
    <t>banana</t>
  </si>
  <si>
    <t>BISCUIT</t>
  </si>
  <si>
    <t>Qty</t>
  </si>
  <si>
    <t>Stock-Value</t>
  </si>
  <si>
    <t>Sales-Value</t>
  </si>
  <si>
    <t>cream-o</t>
  </si>
  <si>
    <t>pantene</t>
  </si>
  <si>
    <t>SHAMPOO</t>
  </si>
  <si>
    <t>clear</t>
  </si>
  <si>
    <t>rc cola</t>
  </si>
  <si>
    <t>SOFTDRINKS</t>
  </si>
  <si>
    <t>Selling Price</t>
  </si>
  <si>
    <t>Profit</t>
  </si>
  <si>
    <t>StockonHand</t>
  </si>
  <si>
    <t>Transact Qty</t>
  </si>
  <si>
    <t>Beginning Stocks</t>
  </si>
  <si>
    <t>Remarks</t>
  </si>
  <si>
    <t>CHOCOLATE</t>
  </si>
  <si>
    <t>CHOCO MUCHO</t>
  </si>
  <si>
    <t>*1006*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</si>
</sst>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[$PHP]\ * #,##0.00_);_([$PHP]\ * \(#,##0.00\);_([$PHP]\ * &quot;-&quot;??_);_(@_)"/>
    <numFmt numFmtId="165" formatCode="0\ &quot;pcs&quot;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Avenir Next LT Pro"/>
      <family val="2"/>
    </font>
    <font>
      <b/>
      <sz val="11"/>
      <color theme="0"/>
      <name val="Avenir Next LT Pro Light"/>
      <family val="2"/>
    </font>
    <font>
      <sz val="11"/>
      <color theme="1"/>
      <name val="3 of 9 Barcode"/>
      <family val="5"/>
    </font>
  </fonts>
  <fills count="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3" borderId="0" xfId="0" applyFill="1" applyAlignment="1">
      <alignment vertical="center"/>
    </xf>
    <xf numFmtId="0" fontId="1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22" fontId="1" fillId="4" borderId="0" xfId="0" applyNumberFormat="1" applyFont="1" applyFill="1" applyAlignment="1">
      <alignment horizontal="center" vertical="center"/>
    </xf>
    <xf numFmtId="164" fontId="2" fillId="2" borderId="0" xfId="0" applyNumberFormat="1" applyFont="1" applyFill="1" applyAlignment="1">
      <alignment horizontal="center" vertical="center"/>
    </xf>
    <xf numFmtId="164" fontId="1" fillId="4" borderId="0" xfId="0" applyNumberFormat="1" applyFont="1" applyFill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3" fillId="4" borderId="0" xfId="0" applyNumberFormat="1" applyFont="1" applyFill="1" applyAlignment="1">
      <alignment horizontal="center" vertical="center"/>
    </xf>
    <xf numFmtId="165" fontId="1" fillId="4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5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scheme val="none"/>
      </font>
      <numFmt numFmtId="165" formatCode="0\ &quot;pcs&quot;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scheme val="none"/>
      </font>
      <numFmt numFmtId="165" formatCode="0\ &quot;pcs&quot;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3 of 9 Barcode"/>
        <family val="5"/>
        <scheme val="none"/>
      </font>
      <numFmt numFmtId="165" formatCode="0\ &quot;pcs&quot;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3 of 9 Barcode"/>
        <family val="5"/>
        <scheme val="none"/>
      </font>
      <numFmt numFmtId="165" formatCode="0\ &quot;pcs&quot;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3 of 9 Barcode"/>
        <family val="5"/>
        <scheme val="none"/>
      </font>
      <numFmt numFmtId="164" formatCode="_([$PHP]\ * #,##0.00_);_([$PHP]\ * \(#,##0.00\);_([$PHP]\ * &quot;-&quot;??_);_(@_)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3 of 9 Barcode"/>
        <family val="5"/>
        <scheme val="none"/>
      </font>
      <numFmt numFmtId="164" formatCode="_([$PHP]\ * #,##0.00_);_([$PHP]\ * \(#,##0.00\);_([$PHP]\ * &quot;-&quot;??_);_(@_)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scheme val="none"/>
      </font>
      <numFmt numFmtId="164" formatCode="_([$PHP]\ * #,##0.00_);_([$PHP]\ * \(#,##0.00\);_([$PHP]\ * &quot;-&quot;??_);_(@_)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scheme val="none"/>
      </font>
      <numFmt numFmtId="164" formatCode="_([$PHP]\ * #,##0.00_);_([$PHP]\ * \(#,##0.00\);_([$PHP]\ * &quot;-&quot;??_);_(@_)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scheme val="none"/>
      </font>
      <numFmt numFmtId="164" formatCode="_([$PHP]\ * #,##0.00_);_([$PHP]\ * \(#,##0.00\);_([$PHP]\ * &quot;-&quot;??_);_(@_)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scheme val="none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scheme val="none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scheme val="none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venir Next LT Pro"/>
        <family val="2"/>
        <scheme val="none"/>
      </font>
      <fill>
        <patternFill patternType="solid">
          <fgColor rgb="FF000000"/>
          <bgColor rgb="FFB4C6E7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venir Next LT Pro Light"/>
        <family val="2"/>
        <scheme val="none"/>
      </font>
      <numFmt numFmtId="164" formatCode="_([$PHP]\ * #,##0.00_);_([$PHP]\ * \(#,##0.00\);_([$PHP]\ * &quot;-&quot;??_);_(@_)"/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/>
      </font>
      <fill>
        <patternFill>
          <bgColor theme="7"/>
        </patternFill>
      </fill>
    </dxf>
    <dxf>
      <font>
        <color theme="0"/>
      </font>
      <fill>
        <patternFill>
          <bgColor theme="9" tint="-0.499984740745262"/>
        </patternFill>
      </fill>
    </dxf>
    <dxf>
      <border>
        <top style="thin">
          <color theme="4" tint="-0.499984740745262"/>
        </top>
        <bottom style="thin">
          <color theme="4" tint="-0.499984740745262"/>
        </bottom>
        <vertical/>
        <horizontal/>
      </border>
    </dxf>
    <dxf>
      <border>
        <top style="thin">
          <color theme="4" tint="-0.499984740745262"/>
        </top>
        <bottom style="thin">
          <color theme="4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scheme val="none"/>
      </font>
      <numFmt numFmtId="164" formatCode="_([$PHP]\ * #,##0.00_);_([$PHP]\ * \(#,##0.00\);_([$PHP]\ * &quot;-&quot;??_);_(@_)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scheme val="none"/>
      </font>
      <numFmt numFmtId="164" formatCode="_([$PHP]\ * #,##0.00_);_([$PHP]\ * \(#,##0.00\);_([$PHP]\ * &quot;-&quot;??_);_(@_)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scheme val="none"/>
      </font>
      <numFmt numFmtId="164" formatCode="_([$PHP]\ * #,##0.00_);_([$PHP]\ * \(#,##0.00\);_([$PHP]\ * &quot;-&quot;??_);_(@_)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venir Next LT Pro"/>
        <family val="2"/>
        <scheme val="none"/>
      </font>
      <fill>
        <patternFill patternType="solid">
          <fgColor rgb="FF000000"/>
          <bgColor rgb="FFB4C6E7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venir Next LT Pro Light"/>
        <family val="2"/>
        <scheme val="none"/>
      </font>
      <numFmt numFmtId="164" formatCode="_([$PHP]\ * #,##0.00_);_([$PHP]\ * \(#,##0.00\);_([$PHP]\ * &quot;-&quot;??_);_(@_)"/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border>
        <top style="thin">
          <color theme="4" tint="-0.499984740745262"/>
        </top>
        <bottom style="thin">
          <color theme="4" tint="-0.499984740745262"/>
        </bottom>
        <vertical/>
        <horizontal/>
      </border>
    </dxf>
    <dxf>
      <border>
        <top style="thin">
          <color theme="4" tint="-0.499984740745262"/>
        </top>
        <bottom style="thin">
          <color theme="4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scheme val="none"/>
      </font>
      <numFmt numFmtId="164" formatCode="_([$PHP]\ * #,##0.00_);_([$PHP]\ * \(#,##0.00\);_([$PHP]\ * &quot;-&quot;??_);_(@_)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scheme val="none"/>
      </font>
      <numFmt numFmtId="164" formatCode="_([$PHP]\ * #,##0.00_);_([$PHP]\ * \(#,##0.00\);_([$PHP]\ * &quot;-&quot;??_);_(@_)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scheme val="none"/>
      </font>
      <numFmt numFmtId="164" formatCode="_([$PHP]\ * #,##0.00_);_([$PHP]\ * \(#,##0.00\);_([$PHP]\ * &quot;-&quot;??_);_(@_)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scheme val="none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scheme val="none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venir Next LT Pro"/>
        <family val="2"/>
        <scheme val="none"/>
      </font>
      <fill>
        <patternFill patternType="solid">
          <fgColor rgb="FF000000"/>
          <bgColor rgb="FFB4C6E7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venir Next LT Pro Light"/>
        <family val="2"/>
        <scheme val="none"/>
      </font>
      <numFmt numFmtId="164" formatCode="_([$PHP]\ * #,##0.00_);_([$PHP]\ * \(#,##0.00\);_([$PHP]\ * &quot;-&quot;??_);_(@_)"/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border>
        <top style="thin">
          <color theme="4" tint="-0.499984740745262"/>
        </top>
        <bottom style="thin">
          <color theme="4" tint="-0.499984740745262"/>
        </bottom>
        <vertical/>
        <horizontal/>
      </border>
    </dxf>
    <dxf>
      <border>
        <top style="thin">
          <color theme="4" tint="-0.499984740745262"/>
        </top>
        <bottom style="thin">
          <color theme="4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scheme val="none"/>
      </font>
      <numFmt numFmtId="164" formatCode="_([$PHP]\ * #,##0.00_);_([$PHP]\ * \(#,##0.00\);_([$PHP]\ * &quot;-&quot;??_);_(@_)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scheme val="none"/>
      </font>
      <numFmt numFmtId="164" formatCode="_([$PHP]\ * #,##0.00_);_([$PHP]\ * \(#,##0.00\);_([$PHP]\ * &quot;-&quot;??_);_(@_)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venir Next LT Pro Light"/>
        <family val="2"/>
        <scheme val="none"/>
      </font>
      <numFmt numFmtId="164" formatCode="_([$PHP]\ * #,##0.00_);_([$PHP]\ * \(#,##0.00\);_([$PHP]\ * &quot;-&quot;??_);_(@_)"/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border>
        <top style="thin">
          <color theme="4" tint="-0.499984740745262"/>
        </top>
        <bottom style="thin">
          <color theme="4" tint="-0.499984740745262"/>
        </bottom>
        <vertical/>
        <horizontal/>
      </border>
    </dxf>
    <dxf>
      <border>
        <top style="thin">
          <color theme="4" tint="-0.499984740745262"/>
        </top>
        <bottom style="thin">
          <color theme="4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</xdr:colOff>
      <xdr:row>5</xdr:row>
      <xdr:rowOff>137160</xdr:rowOff>
    </xdr:from>
    <xdr:to>
      <xdr:col>20</xdr:col>
      <xdr:colOff>182880</xdr:colOff>
      <xdr:row>16</xdr:row>
      <xdr:rowOff>68580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B3ACC6-CFEC-4F9E-D2DE-76093A084BA9}"/>
            </a:ext>
          </a:extLst>
        </xdr:cNvPr>
        <xdr:cNvSpPr/>
      </xdr:nvSpPr>
      <xdr:spPr>
        <a:xfrm>
          <a:off x="1844040" y="1051560"/>
          <a:ext cx="10530840" cy="1943100"/>
        </a:xfrm>
        <a:prstGeom prst="roundRect">
          <a:avLst/>
        </a:prstGeom>
        <a:effectLst>
          <a:glow rad="1016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6600" kern="120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Bauhaus 93" panose="04030905020B02020C02" pitchFamily="82" charset="0"/>
            </a:rPr>
            <a:t>LAUNCH</a:t>
          </a:r>
          <a:r>
            <a:rPr lang="en-US" sz="6600" kern="1200" baseline="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Bauhaus 93" panose="04030905020B02020C02" pitchFamily="82" charset="0"/>
            </a:rPr>
            <a:t> INVENTORY FORM</a:t>
          </a:r>
          <a:endParaRPr lang="en-US" sz="6600" kern="1200"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Bauhaus 93" panose="04030905020B02020C02" pitchFamily="82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F54766-D403-4267-9FAC-4219F1719F45}" name="Table1" displayName="Table1" ref="A1:G191" totalsRowShown="0" headerRowDxfId="49" dataDxfId="48">
  <autoFilter ref="A1:G191" xr:uid="{55F54766-D403-4267-9FAC-4219F1719F45}"/>
  <tableColumns count="7">
    <tableColumn id="1" xr3:uid="{8DB2675B-ED42-4475-94CA-F2BB1D499AA6}" name="SN" dataDxfId="47"/>
    <tableColumn id="2" xr3:uid="{C2AFDE95-E2CD-4525-A57F-DBF38A8E39C1}" name="Product ID" dataDxfId="46"/>
    <tableColumn id="3" xr3:uid="{D88C962C-BEC3-4018-84BF-9D93F8159407}" name="Description" dataDxfId="45"/>
    <tableColumn id="4" xr3:uid="{699D7A22-55A1-4ADD-BB8C-0E3EF8FE7CFD}" name="Category" dataDxfId="44"/>
    <tableColumn id="5" xr3:uid="{D5A60CCB-A13A-42FC-8B2E-3D0ADBB77E54}" name="Unit " dataDxfId="43"/>
    <tableColumn id="6" xr3:uid="{31168946-1906-48A2-B327-AEAC6F7A569E}" name="RSP" dataDxfId="42"/>
    <tableColumn id="8" xr3:uid="{8D02AD3F-4DCC-41FD-99B5-464BEEF53BFF}" name="Date" dataDxfId="4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A52E09-DBF5-4C65-8E3A-FD4B4B407A69}" name="Table13" displayName="Table13" ref="A1:G197" totalsRowShown="0" headerRowDxfId="38" dataDxfId="37">
  <autoFilter ref="A1:G197" xr:uid="{55F54766-D403-4267-9FAC-4219F1719F45}"/>
  <tableColumns count="7">
    <tableColumn id="2" xr3:uid="{05376233-BDCC-49A5-8C4D-DFA828E0D3DB}" name="Product ID" dataDxfId="36"/>
    <tableColumn id="3" xr3:uid="{C550BCD1-53AE-46DD-92F5-59E6D0089EA4}" name="Description" dataDxfId="35">
      <calculatedColumnFormula>IF(Table13[[#This Row],[Product ID]]="","",VLOOKUP(Table13[[#This Row],[Product ID]],data,2,FALSE))</calculatedColumnFormula>
    </tableColumn>
    <tableColumn id="4" xr3:uid="{290472A8-D1D2-4BDD-AC88-005CE589680A}" name="Category" dataDxfId="34">
      <calculatedColumnFormula>IF(Table13[[#This Row],[Product ID]]="","",VLOOKUP(Table13[[#This Row],[Product ID]],data,3,FALSE))</calculatedColumnFormula>
    </tableColumn>
    <tableColumn id="5" xr3:uid="{39D67692-632D-46B3-AA19-D2C300AF1D6F}" name="Unit " dataDxfId="33">
      <calculatedColumnFormula>IF(Table13[[#This Row],[Product ID]]="","",VLOOKUP(Table13[[#This Row],[Product ID]],data,4,FALSE))</calculatedColumnFormula>
    </tableColumn>
    <tableColumn id="6" xr3:uid="{F988430E-A37B-43E5-8AE1-958E539E7B8A}" name="Qty" dataDxfId="32"/>
    <tableColumn id="7" xr3:uid="{39FF7A07-7FF1-42AB-8261-10979F5C56D6}" name="Stock-Value" dataDxfId="31">
      <calculatedColumnFormula>IF(Table13[[#This Row],[Product ID]]="","",PRODUCT(Table13[[#This Row],[Unit ]]*Table13[[#This Row],[Qty]]))</calculatedColumnFormula>
    </tableColumn>
    <tableColumn id="8" xr3:uid="{1DE34136-3F63-4443-91F0-A86B9D758D81}" name="Date" dataDxfId="3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CA2D42-1D94-44EA-BDD6-284C2EE24802}" name="Table134" displayName="Table134" ref="A1:H191" totalsRowShown="0" headerRowDxfId="27" dataDxfId="26">
  <autoFilter ref="A1:H191" xr:uid="{55F54766-D403-4267-9FAC-4219F1719F45}"/>
  <tableColumns count="8">
    <tableColumn id="1" xr3:uid="{9FE01A5C-881A-4569-87CD-04C5CAB9CF23}" name="SN" dataDxfId="25"/>
    <tableColumn id="2" xr3:uid="{20777241-3D48-4470-9D09-C8E680374713}" name="Product ID" dataDxfId="24"/>
    <tableColumn id="3" xr3:uid="{7AE4F7D3-1B9E-4EB1-B663-24A8A25CAFE9}" name="Description" dataDxfId="23"/>
    <tableColumn id="4" xr3:uid="{6EEC62C8-A9F6-4EAC-8353-29051F6FBD2C}" name="Category" dataDxfId="22"/>
    <tableColumn id="5" xr3:uid="{E4F31920-27DB-48BA-929C-9B98085ADA0F}" name="Unit " dataDxfId="21"/>
    <tableColumn id="6" xr3:uid="{8BD0D6B8-1280-431D-92BD-82CEA26BD731}" name="Qty" dataDxfId="20"/>
    <tableColumn id="7" xr3:uid="{58F9247D-1281-4E62-ABD0-A39A8DDB2F79}" name="Sales-Value" dataDxfId="19">
      <calculatedColumnFormula>IF(Table134[[#This Row],[Product ID]]="","","*"&amp;Table134[[#This Row],[Product ID]]&amp;"*")</calculatedColumnFormula>
    </tableColumn>
    <tableColumn id="8" xr3:uid="{638A5643-1AEB-4384-882A-6D75C5BF63A0}" name="Date" dataDxfId="1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B426F84-DA97-48EE-B7C1-7D4243D0FE41}" name="Table1345" displayName="Table1345" ref="A1:L191" totalsRowShown="0" headerRowDxfId="13" dataDxfId="12">
  <autoFilter ref="A1:L191" xr:uid="{55F54766-D403-4267-9FAC-4219F1719F45}"/>
  <tableColumns count="12">
    <tableColumn id="2" xr3:uid="{CE432664-4BAC-4227-8580-FA4952342D98}" name="Product ID" dataDxfId="11">
      <calculatedColumnFormula>IF(item="","",item)</calculatedColumnFormula>
    </tableColumn>
    <tableColumn id="3" xr3:uid="{B1EA26BC-602B-4DED-AFBF-BE56B59A7EA8}" name="Description" dataDxfId="10">
      <calculatedColumnFormula>IF(Table1345[[#This Row],[Product ID]]="","",VLOOKUP(Table1345[[#This Row],[Product ID]],data,2,FALSE))</calculatedColumnFormula>
    </tableColumn>
    <tableColumn id="4" xr3:uid="{CA5E601D-3FDE-480E-BDC5-8F56C38E70B2}" name="Category" dataDxfId="9">
      <calculatedColumnFormula>IF(Table1345[[#This Row],[Product ID]]="","",VLOOKUP(Table1345[[#This Row],[Product ID]],data,3,FALSE))</calculatedColumnFormula>
    </tableColumn>
    <tableColumn id="5" xr3:uid="{F231A235-CABE-440F-A3FB-127C028B40B4}" name="Unit " dataDxfId="8">
      <calculatedColumnFormula>IF(Table1345[[#This Row],[Product ID]]="","",VLOOKUP(Table1345[[#This Row],[Product ID]],data,4,FALSE))</calculatedColumnFormula>
    </tableColumn>
    <tableColumn id="6" xr3:uid="{CCD6FDD8-88FB-436C-B56D-9384FFC94114}" name="Selling Price" dataDxfId="7">
      <calculatedColumnFormula>IF(Table1345[[#This Row],[Product ID]]="","",VLOOKUP(Table1345[[#This Row],[Product ID]],data,5,FALSE))</calculatedColumnFormula>
    </tableColumn>
    <tableColumn id="7" xr3:uid="{6B93B001-FBF5-4142-AC37-78A421CBF4DC}" name="Stock-Value" dataDxfId="6">
      <calculatedColumnFormula>IF(Table1345[[#This Row],[Product ID]]="","",SUMIFS(Stockin!F:F,Stockin!A:A,Table1345[[#This Row],[Product ID]]))</calculatedColumnFormula>
    </tableColumn>
    <tableColumn id="10" xr3:uid="{6992CB5B-9C4C-4338-AFD3-97D012327A83}" name="Sales-Value" dataDxfId="5">
      <calculatedColumnFormula>IF(Table1345[[#This Row],[Product ID]]="","",SUMIFS(StockOut!G:G,StockOut!B:B,Table1345[[#This Row],[Product ID]]))</calculatedColumnFormula>
    </tableColumn>
    <tableColumn id="9" xr3:uid="{01EE7D1A-BE6D-4F20-AF70-7AF8F8B04F3A}" name="Profit" dataDxfId="4">
      <calculatedColumnFormula>IF(Table1345[[#This Row],[Product ID]]="","",SUM(Table1345[[#This Row],[Unit ]]-Table1345[[#This Row],[Selling Price]])*Table1345[[#This Row],[Transact Qty]])</calculatedColumnFormula>
    </tableColumn>
    <tableColumn id="12" xr3:uid="{C03B8537-9993-4A6D-AFF9-5919321DBC61}" name="Beginning Stocks" dataDxfId="3">
      <calculatedColumnFormula>IF(Table1345[[#This Row],[Product ID]]="","",SUMIFS(Stockin!E:E,Stockin!A:A,Table1345[[#This Row],[Product ID]]))</calculatedColumnFormula>
    </tableColumn>
    <tableColumn id="11" xr3:uid="{A47C874B-92A8-48F2-A506-3E0B2A141958}" name="Transact Qty" dataDxfId="2">
      <calculatedColumnFormula>IF(Table1345[[#This Row],[Product ID]]="","",SUMIFS(StockOut!F:F,StockOut!B:B,Table1345[[#This Row],[Product ID]]))</calculatedColumnFormula>
    </tableColumn>
    <tableColumn id="13" xr3:uid="{267D6BD1-9AB4-4C02-BF26-552AE0633336}" name="Remarks" dataDxfId="1">
      <calculatedColumnFormula>IF(A1="","",IF(Table1345[[#This Row],[StockonHand]]&lt;5, "Re-Order","Available"))</calculatedColumnFormula>
    </tableColumn>
    <tableColumn id="8" xr3:uid="{65B38A03-36EB-4F2D-B8D1-1C62B9CCC7A0}" name="StockonHand" dataDxfId="0">
      <calculatedColumnFormula>IF(Table1345[[#This Row],[Product ID]]="","",PRODUCT(Table1345[[#This Row],[Beginning Stocks]]-Table1345[[#This Row],[Transact Qty]]))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22145-6119-4BBA-B79B-4C53BFFE7587}">
  <sheetPr codeName="Sheet2">
    <tabColor rgb="FFFF0000"/>
  </sheetPr>
  <dimension ref="A1"/>
  <sheetViews>
    <sheetView showGridLines="0" workbookViewId="0">
      <selection activeCell="B15" sqref="B15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B48F4-49FE-4EB3-B8C3-561472F5A765}">
  <sheetPr codeName="Sheet1">
    <tabColor rgb="FF7030A0"/>
  </sheetPr>
  <dimension ref="A1:G191"/>
  <sheetViews>
    <sheetView showGridLines="0" workbookViewId="0">
      <pane ySplit="1" topLeftCell="A2" activePane="bottomLeft" state="frozen"/>
      <selection pane="bottomLeft" activeCell="H1048567" sqref="H1048567"/>
    </sheetView>
  </sheetViews>
  <sheetFormatPr defaultColWidth="20.77734375" defaultRowHeight="30" customHeight="1" x14ac:dyDescent="0.3"/>
  <cols>
    <col min="1" max="1" width="8.88671875" style="2" customWidth="1"/>
    <col min="2" max="4" width="20.77734375" style="2"/>
    <col min="5" max="6" width="20.77734375" style="8"/>
    <col min="7" max="7" width="20.77734375" style="2"/>
    <col min="8" max="16384" width="20.77734375" style="1"/>
  </cols>
  <sheetData>
    <row r="1" spans="1:7" ht="30" customHeight="1" x14ac:dyDescent="0.3">
      <c r="A1" s="3" t="s">
        <v>5</v>
      </c>
      <c r="B1" s="3" t="s">
        <v>0</v>
      </c>
      <c r="C1" s="3" t="s">
        <v>1</v>
      </c>
      <c r="D1" s="3" t="s">
        <v>2</v>
      </c>
      <c r="E1" s="6" t="s">
        <v>3</v>
      </c>
      <c r="F1" s="6" t="s">
        <v>4</v>
      </c>
      <c r="G1" s="3" t="s">
        <v>6</v>
      </c>
    </row>
    <row r="2" spans="1:7" ht="30" customHeight="1" x14ac:dyDescent="0.3">
      <c r="A2" s="4">
        <v>1</v>
      </c>
      <c r="B2" s="4">
        <v>1001</v>
      </c>
      <c r="C2" s="4" t="s">
        <v>8</v>
      </c>
      <c r="D2" s="4" t="s">
        <v>7</v>
      </c>
      <c r="E2" s="7">
        <v>9</v>
      </c>
      <c r="F2" s="7">
        <v>11</v>
      </c>
      <c r="G2" s="5">
        <v>45659.633680555555</v>
      </c>
    </row>
    <row r="3" spans="1:7" ht="30" customHeight="1" x14ac:dyDescent="0.3">
      <c r="A3" s="4">
        <v>2</v>
      </c>
      <c r="B3" s="4">
        <v>1002</v>
      </c>
      <c r="C3" s="4" t="s">
        <v>13</v>
      </c>
      <c r="D3" s="4" t="s">
        <v>9</v>
      </c>
      <c r="E3" s="7">
        <v>9</v>
      </c>
      <c r="F3" s="7">
        <v>11</v>
      </c>
      <c r="G3" s="5">
        <v>45659.633819444447</v>
      </c>
    </row>
    <row r="4" spans="1:7" ht="30" customHeight="1" x14ac:dyDescent="0.3">
      <c r="A4" s="4">
        <v>3</v>
      </c>
      <c r="B4" s="4">
        <v>1003</v>
      </c>
      <c r="C4" s="4" t="s">
        <v>14</v>
      </c>
      <c r="D4" s="4" t="s">
        <v>15</v>
      </c>
      <c r="E4" s="7">
        <v>10</v>
      </c>
      <c r="F4" s="7">
        <v>12</v>
      </c>
      <c r="G4" s="5">
        <v>45659.634016203701</v>
      </c>
    </row>
    <row r="5" spans="1:7" ht="30" customHeight="1" x14ac:dyDescent="0.3">
      <c r="A5" s="4">
        <v>4</v>
      </c>
      <c r="B5" s="4">
        <v>1004</v>
      </c>
      <c r="C5" s="4" t="s">
        <v>16</v>
      </c>
      <c r="D5" s="4" t="s">
        <v>15</v>
      </c>
      <c r="E5" s="7">
        <v>11</v>
      </c>
      <c r="F5" s="7">
        <v>16</v>
      </c>
      <c r="G5" s="5">
        <v>45659.634155092594</v>
      </c>
    </row>
    <row r="6" spans="1:7" ht="30" customHeight="1" x14ac:dyDescent="0.3">
      <c r="A6" s="4">
        <v>5</v>
      </c>
      <c r="B6" s="4">
        <v>1005</v>
      </c>
      <c r="C6" s="4" t="s">
        <v>17</v>
      </c>
      <c r="D6" s="4" t="s">
        <v>18</v>
      </c>
      <c r="E6" s="7">
        <v>21</v>
      </c>
      <c r="F6" s="7">
        <v>25</v>
      </c>
      <c r="G6" s="5">
        <v>45659.634409722225</v>
      </c>
    </row>
    <row r="7" spans="1:7" ht="30" customHeight="1" x14ac:dyDescent="0.3">
      <c r="A7" s="4">
        <v>6</v>
      </c>
      <c r="B7" s="4">
        <v>1006</v>
      </c>
      <c r="C7" s="4" t="s">
        <v>26</v>
      </c>
      <c r="D7" s="4" t="s">
        <v>25</v>
      </c>
      <c r="E7" s="7">
        <v>2</v>
      </c>
      <c r="F7" s="7">
        <v>5</v>
      </c>
      <c r="G7" s="5" t="s">
        <v>27</v>
      </c>
    </row>
    <row r="8" spans="1:7" ht="30" customHeight="1" x14ac:dyDescent="0.3">
      <c r="A8" s="4"/>
      <c r="B8" s="4"/>
      <c r="C8" s="4"/>
      <c r="D8" s="4"/>
      <c r="E8" s="7"/>
      <c r="F8" s="7"/>
      <c r="G8" s="4"/>
    </row>
    <row r="9" spans="1:7" ht="30" customHeight="1" x14ac:dyDescent="0.3">
      <c r="A9" s="4"/>
      <c r="B9" s="4"/>
      <c r="C9" s="4"/>
      <c r="D9" s="4"/>
      <c r="E9" s="7"/>
      <c r="F9" s="7"/>
      <c r="G9" s="4"/>
    </row>
    <row r="10" spans="1:7" ht="30" customHeight="1" x14ac:dyDescent="0.3">
      <c r="A10" s="4"/>
      <c r="B10" s="4"/>
      <c r="C10" s="4"/>
      <c r="D10" s="4"/>
      <c r="E10" s="7"/>
      <c r="F10" s="7"/>
      <c r="G10" s="4"/>
    </row>
    <row r="11" spans="1:7" ht="30" customHeight="1" x14ac:dyDescent="0.3">
      <c r="A11" s="4"/>
      <c r="B11" s="4"/>
      <c r="C11" s="4"/>
      <c r="D11" s="4"/>
      <c r="E11" s="7"/>
      <c r="F11" s="7"/>
      <c r="G11" s="4"/>
    </row>
    <row r="12" spans="1:7" ht="30" customHeight="1" x14ac:dyDescent="0.3">
      <c r="A12" s="4"/>
      <c r="B12" s="4"/>
      <c r="C12" s="4"/>
      <c r="D12" s="4"/>
      <c r="E12" s="7"/>
      <c r="F12" s="7"/>
      <c r="G12" s="4"/>
    </row>
    <row r="13" spans="1:7" ht="30" customHeight="1" x14ac:dyDescent="0.3">
      <c r="A13" s="4"/>
      <c r="B13" s="4"/>
      <c r="C13" s="4"/>
      <c r="D13" s="4"/>
      <c r="E13" s="7"/>
      <c r="F13" s="7"/>
      <c r="G13" s="4"/>
    </row>
    <row r="14" spans="1:7" ht="30" customHeight="1" x14ac:dyDescent="0.3">
      <c r="A14" s="4"/>
      <c r="B14" s="4"/>
      <c r="C14" s="4"/>
      <c r="D14" s="4"/>
      <c r="E14" s="7"/>
      <c r="F14" s="7"/>
      <c r="G14" s="4"/>
    </row>
    <row r="15" spans="1:7" ht="30" customHeight="1" x14ac:dyDescent="0.3">
      <c r="A15" s="4"/>
      <c r="B15" s="4"/>
      <c r="C15" s="4"/>
      <c r="D15" s="4"/>
      <c r="E15" s="7"/>
      <c r="F15" s="7"/>
      <c r="G15" s="4"/>
    </row>
    <row r="16" spans="1:7" ht="30" customHeight="1" x14ac:dyDescent="0.3">
      <c r="A16" s="4"/>
      <c r="B16" s="4"/>
      <c r="C16" s="4"/>
      <c r="D16" s="4"/>
      <c r="E16" s="7"/>
      <c r="F16" s="7"/>
      <c r="G16" s="4"/>
    </row>
    <row r="17" spans="1:7" ht="30" customHeight="1" x14ac:dyDescent="0.3">
      <c r="A17" s="4"/>
      <c r="B17" s="4"/>
      <c r="C17" s="4"/>
      <c r="D17" s="4"/>
      <c r="E17" s="7"/>
      <c r="F17" s="7"/>
      <c r="G17" s="4"/>
    </row>
    <row r="18" spans="1:7" ht="30" customHeight="1" x14ac:dyDescent="0.3">
      <c r="A18" s="4"/>
      <c r="B18" s="4"/>
      <c r="C18" s="4"/>
      <c r="D18" s="4"/>
      <c r="E18" s="7"/>
      <c r="F18" s="7"/>
      <c r="G18" s="4"/>
    </row>
    <row r="19" spans="1:7" ht="30" customHeight="1" x14ac:dyDescent="0.3">
      <c r="A19" s="4"/>
      <c r="B19" s="4"/>
      <c r="C19" s="4"/>
      <c r="D19" s="4"/>
      <c r="E19" s="7"/>
      <c r="F19" s="7"/>
      <c r="G19" s="4"/>
    </row>
    <row r="20" spans="1:7" ht="30" customHeight="1" x14ac:dyDescent="0.3">
      <c r="A20" s="4"/>
      <c r="B20" s="4"/>
      <c r="C20" s="4"/>
      <c r="D20" s="4"/>
      <c r="E20" s="7"/>
      <c r="F20" s="7"/>
      <c r="G20" s="4"/>
    </row>
    <row r="21" spans="1:7" ht="30" customHeight="1" x14ac:dyDescent="0.3">
      <c r="A21" s="4"/>
      <c r="B21" s="4"/>
      <c r="C21" s="4"/>
      <c r="D21" s="4"/>
      <c r="E21" s="7"/>
      <c r="F21" s="7"/>
      <c r="G21" s="4"/>
    </row>
    <row r="22" spans="1:7" ht="30" customHeight="1" x14ac:dyDescent="0.3">
      <c r="A22" s="4"/>
      <c r="B22" s="4"/>
      <c r="C22" s="4"/>
      <c r="D22" s="4"/>
      <c r="E22" s="7"/>
      <c r="F22" s="7"/>
      <c r="G22" s="4"/>
    </row>
    <row r="23" spans="1:7" ht="30" customHeight="1" x14ac:dyDescent="0.3">
      <c r="A23" s="4"/>
      <c r="B23" s="4"/>
      <c r="C23" s="4"/>
      <c r="D23" s="4"/>
      <c r="E23" s="7"/>
      <c r="F23" s="7"/>
      <c r="G23" s="4"/>
    </row>
    <row r="24" spans="1:7" ht="30" customHeight="1" x14ac:dyDescent="0.3">
      <c r="A24" s="4"/>
      <c r="B24" s="4"/>
      <c r="C24" s="4"/>
      <c r="D24" s="4"/>
      <c r="E24" s="7"/>
      <c r="F24" s="7"/>
      <c r="G24" s="4"/>
    </row>
    <row r="25" spans="1:7" ht="30" customHeight="1" x14ac:dyDescent="0.3">
      <c r="A25" s="4"/>
      <c r="B25" s="4"/>
      <c r="C25" s="4"/>
      <c r="D25" s="4"/>
      <c r="E25" s="7"/>
      <c r="F25" s="7"/>
      <c r="G25" s="4"/>
    </row>
    <row r="26" spans="1:7" ht="30" customHeight="1" x14ac:dyDescent="0.3">
      <c r="A26" s="4"/>
      <c r="B26" s="4"/>
      <c r="C26" s="4"/>
      <c r="D26" s="4"/>
      <c r="E26" s="7"/>
      <c r="F26" s="7"/>
      <c r="G26" s="4"/>
    </row>
    <row r="27" spans="1:7" ht="30" customHeight="1" x14ac:dyDescent="0.3">
      <c r="A27" s="4"/>
      <c r="B27" s="4"/>
      <c r="C27" s="4"/>
      <c r="D27" s="4"/>
      <c r="E27" s="7"/>
      <c r="F27" s="7"/>
      <c r="G27" s="4"/>
    </row>
    <row r="28" spans="1:7" ht="30" customHeight="1" x14ac:dyDescent="0.3">
      <c r="A28" s="4"/>
      <c r="B28" s="4"/>
      <c r="C28" s="4"/>
      <c r="D28" s="4"/>
      <c r="E28" s="7"/>
      <c r="F28" s="7"/>
      <c r="G28" s="4"/>
    </row>
    <row r="29" spans="1:7" ht="30" customHeight="1" x14ac:dyDescent="0.3">
      <c r="A29" s="4"/>
      <c r="B29" s="4"/>
      <c r="C29" s="4"/>
      <c r="D29" s="4"/>
      <c r="E29" s="7"/>
      <c r="F29" s="7"/>
      <c r="G29" s="4"/>
    </row>
    <row r="30" spans="1:7" ht="30" customHeight="1" x14ac:dyDescent="0.3">
      <c r="A30" s="4"/>
      <c r="B30" s="4"/>
      <c r="C30" s="4"/>
      <c r="D30" s="4"/>
      <c r="E30" s="7"/>
      <c r="F30" s="7"/>
      <c r="G30" s="4"/>
    </row>
    <row r="31" spans="1:7" ht="30" customHeight="1" x14ac:dyDescent="0.3">
      <c r="A31" s="4"/>
      <c r="B31" s="4"/>
      <c r="C31" s="4"/>
      <c r="D31" s="4"/>
      <c r="E31" s="7"/>
      <c r="F31" s="7"/>
      <c r="G31" s="4"/>
    </row>
    <row r="32" spans="1:7" ht="30" customHeight="1" x14ac:dyDescent="0.3">
      <c r="A32" s="4"/>
      <c r="B32" s="4"/>
      <c r="C32" s="4"/>
      <c r="D32" s="4"/>
      <c r="E32" s="7"/>
      <c r="F32" s="7"/>
      <c r="G32" s="4"/>
    </row>
    <row r="33" spans="1:7" ht="30" customHeight="1" x14ac:dyDescent="0.3">
      <c r="A33" s="4"/>
      <c r="B33" s="4"/>
      <c r="C33" s="4"/>
      <c r="D33" s="4"/>
      <c r="E33" s="7"/>
      <c r="F33" s="7"/>
      <c r="G33" s="4"/>
    </row>
    <row r="34" spans="1:7" ht="30" customHeight="1" x14ac:dyDescent="0.3">
      <c r="A34" s="4"/>
      <c r="B34" s="4"/>
      <c r="C34" s="4"/>
      <c r="D34" s="4"/>
      <c r="E34" s="7"/>
      <c r="F34" s="7"/>
      <c r="G34" s="4"/>
    </row>
    <row r="35" spans="1:7" ht="30" customHeight="1" x14ac:dyDescent="0.3">
      <c r="A35" s="4"/>
      <c r="B35" s="4"/>
      <c r="C35" s="4"/>
      <c r="D35" s="4"/>
      <c r="E35" s="7"/>
      <c r="F35" s="7"/>
      <c r="G35" s="4"/>
    </row>
    <row r="36" spans="1:7" ht="30" customHeight="1" x14ac:dyDescent="0.3">
      <c r="A36" s="4"/>
      <c r="B36" s="4"/>
      <c r="C36" s="4"/>
      <c r="D36" s="4"/>
      <c r="E36" s="7"/>
      <c r="F36" s="7"/>
      <c r="G36" s="4"/>
    </row>
    <row r="37" spans="1:7" ht="30" customHeight="1" x14ac:dyDescent="0.3">
      <c r="A37" s="4"/>
      <c r="B37" s="4"/>
      <c r="C37" s="4"/>
      <c r="D37" s="4"/>
      <c r="E37" s="7"/>
      <c r="F37" s="7"/>
      <c r="G37" s="4"/>
    </row>
    <row r="38" spans="1:7" ht="30" customHeight="1" x14ac:dyDescent="0.3">
      <c r="A38" s="4"/>
      <c r="B38" s="4"/>
      <c r="C38" s="4"/>
      <c r="D38" s="4"/>
      <c r="E38" s="7"/>
      <c r="F38" s="7"/>
      <c r="G38" s="4"/>
    </row>
    <row r="39" spans="1:7" ht="30" customHeight="1" x14ac:dyDescent="0.3">
      <c r="A39" s="4"/>
      <c r="B39" s="4"/>
      <c r="C39" s="4"/>
      <c r="D39" s="4"/>
      <c r="E39" s="7"/>
      <c r="F39" s="7"/>
      <c r="G39" s="4"/>
    </row>
    <row r="40" spans="1:7" ht="30" customHeight="1" x14ac:dyDescent="0.3">
      <c r="A40" s="4"/>
      <c r="B40" s="4"/>
      <c r="C40" s="4"/>
      <c r="D40" s="4"/>
      <c r="E40" s="7"/>
      <c r="F40" s="7"/>
      <c r="G40" s="4"/>
    </row>
    <row r="41" spans="1:7" ht="30" customHeight="1" x14ac:dyDescent="0.3">
      <c r="A41" s="4"/>
      <c r="B41" s="4"/>
      <c r="C41" s="4"/>
      <c r="D41" s="4"/>
      <c r="E41" s="7"/>
      <c r="F41" s="7"/>
      <c r="G41" s="4"/>
    </row>
    <row r="42" spans="1:7" ht="30" customHeight="1" x14ac:dyDescent="0.3">
      <c r="A42" s="4"/>
      <c r="B42" s="4"/>
      <c r="C42" s="4"/>
      <c r="D42" s="4"/>
      <c r="E42" s="7"/>
      <c r="F42" s="7"/>
      <c r="G42" s="4"/>
    </row>
    <row r="43" spans="1:7" ht="30" customHeight="1" x14ac:dyDescent="0.3">
      <c r="A43" s="4"/>
      <c r="B43" s="4"/>
      <c r="C43" s="4"/>
      <c r="D43" s="4"/>
      <c r="E43" s="7"/>
      <c r="F43" s="7"/>
      <c r="G43" s="4"/>
    </row>
    <row r="44" spans="1:7" ht="30" customHeight="1" x14ac:dyDescent="0.3">
      <c r="A44" s="4"/>
      <c r="B44" s="4"/>
      <c r="C44" s="4"/>
      <c r="D44" s="4"/>
      <c r="E44" s="7"/>
      <c r="F44" s="7"/>
      <c r="G44" s="4"/>
    </row>
    <row r="45" spans="1:7" ht="30" customHeight="1" x14ac:dyDescent="0.3">
      <c r="A45" s="4"/>
      <c r="B45" s="4"/>
      <c r="C45" s="4"/>
      <c r="D45" s="4"/>
      <c r="E45" s="7"/>
      <c r="F45" s="7"/>
      <c r="G45" s="4"/>
    </row>
    <row r="46" spans="1:7" ht="30" customHeight="1" x14ac:dyDescent="0.3">
      <c r="A46" s="4"/>
      <c r="B46" s="4"/>
      <c r="C46" s="4"/>
      <c r="D46" s="4"/>
      <c r="E46" s="7"/>
      <c r="F46" s="7"/>
      <c r="G46" s="4"/>
    </row>
    <row r="47" spans="1:7" ht="30" customHeight="1" x14ac:dyDescent="0.3">
      <c r="A47" s="4"/>
      <c r="B47" s="4"/>
      <c r="C47" s="4"/>
      <c r="D47" s="4"/>
      <c r="E47" s="7"/>
      <c r="F47" s="7"/>
      <c r="G47" s="4"/>
    </row>
    <row r="48" spans="1:7" ht="30" customHeight="1" x14ac:dyDescent="0.3">
      <c r="A48" s="4"/>
      <c r="B48" s="4"/>
      <c r="C48" s="4"/>
      <c r="D48" s="4"/>
      <c r="E48" s="7"/>
      <c r="F48" s="7"/>
      <c r="G48" s="4"/>
    </row>
    <row r="49" spans="1:7" ht="30" customHeight="1" x14ac:dyDescent="0.3">
      <c r="A49" s="4"/>
      <c r="B49" s="4"/>
      <c r="C49" s="4"/>
      <c r="D49" s="4"/>
      <c r="E49" s="7"/>
      <c r="F49" s="7"/>
      <c r="G49" s="4"/>
    </row>
    <row r="50" spans="1:7" ht="30" customHeight="1" x14ac:dyDescent="0.3">
      <c r="A50" s="4"/>
      <c r="B50" s="4"/>
      <c r="C50" s="4"/>
      <c r="D50" s="4"/>
      <c r="E50" s="7"/>
      <c r="F50" s="7"/>
      <c r="G50" s="4"/>
    </row>
    <row r="51" spans="1:7" ht="30" customHeight="1" x14ac:dyDescent="0.3">
      <c r="A51" s="4"/>
      <c r="B51" s="4"/>
      <c r="C51" s="4"/>
      <c r="D51" s="4"/>
      <c r="E51" s="7"/>
      <c r="F51" s="7"/>
      <c r="G51" s="4"/>
    </row>
    <row r="52" spans="1:7" ht="30" customHeight="1" x14ac:dyDescent="0.3">
      <c r="A52" s="4"/>
      <c r="B52" s="4"/>
      <c r="C52" s="4"/>
      <c r="D52" s="4"/>
      <c r="E52" s="7"/>
      <c r="F52" s="7"/>
      <c r="G52" s="4"/>
    </row>
    <row r="53" spans="1:7" ht="30" customHeight="1" x14ac:dyDescent="0.3">
      <c r="A53" s="4"/>
      <c r="B53" s="4"/>
      <c r="C53" s="4"/>
      <c r="D53" s="4"/>
      <c r="E53" s="7"/>
      <c r="F53" s="7"/>
      <c r="G53" s="4"/>
    </row>
    <row r="54" spans="1:7" ht="30" customHeight="1" x14ac:dyDescent="0.3">
      <c r="A54" s="4"/>
      <c r="B54" s="4"/>
      <c r="C54" s="4"/>
      <c r="D54" s="4"/>
      <c r="E54" s="7"/>
      <c r="F54" s="7"/>
      <c r="G54" s="4"/>
    </row>
    <row r="55" spans="1:7" ht="30" customHeight="1" x14ac:dyDescent="0.3">
      <c r="A55" s="4"/>
      <c r="B55" s="4"/>
      <c r="C55" s="4"/>
      <c r="D55" s="4"/>
      <c r="E55" s="7"/>
      <c r="F55" s="7"/>
      <c r="G55" s="4"/>
    </row>
    <row r="56" spans="1:7" ht="30" customHeight="1" x14ac:dyDescent="0.3">
      <c r="A56" s="4"/>
      <c r="B56" s="4"/>
      <c r="C56" s="4"/>
      <c r="D56" s="4"/>
      <c r="E56" s="7"/>
      <c r="F56" s="7"/>
      <c r="G56" s="4"/>
    </row>
    <row r="57" spans="1:7" ht="30" customHeight="1" x14ac:dyDescent="0.3">
      <c r="A57" s="4"/>
      <c r="B57" s="4"/>
      <c r="C57" s="4"/>
      <c r="D57" s="4"/>
      <c r="E57" s="7"/>
      <c r="F57" s="7"/>
      <c r="G57" s="4"/>
    </row>
    <row r="58" spans="1:7" ht="30" customHeight="1" x14ac:dyDescent="0.3">
      <c r="A58" s="4"/>
      <c r="B58" s="4"/>
      <c r="C58" s="4"/>
      <c r="D58" s="4"/>
      <c r="E58" s="7"/>
      <c r="F58" s="7"/>
      <c r="G58" s="4"/>
    </row>
    <row r="59" spans="1:7" ht="30" customHeight="1" x14ac:dyDescent="0.3">
      <c r="A59" s="4"/>
      <c r="B59" s="4"/>
      <c r="C59" s="4"/>
      <c r="D59" s="4"/>
      <c r="E59" s="7"/>
      <c r="F59" s="7"/>
      <c r="G59" s="4"/>
    </row>
    <row r="60" spans="1:7" ht="30" customHeight="1" x14ac:dyDescent="0.3">
      <c r="A60" s="4"/>
      <c r="B60" s="4"/>
      <c r="C60" s="4"/>
      <c r="D60" s="4"/>
      <c r="E60" s="7"/>
      <c r="F60" s="7"/>
      <c r="G60" s="4"/>
    </row>
    <row r="61" spans="1:7" ht="30" customHeight="1" x14ac:dyDescent="0.3">
      <c r="A61" s="4"/>
      <c r="B61" s="4"/>
      <c r="C61" s="4"/>
      <c r="D61" s="4"/>
      <c r="E61" s="7"/>
      <c r="F61" s="7"/>
      <c r="G61" s="4"/>
    </row>
    <row r="62" spans="1:7" ht="30" customHeight="1" x14ac:dyDescent="0.3">
      <c r="A62" s="4"/>
      <c r="B62" s="4"/>
      <c r="C62" s="4"/>
      <c r="D62" s="4"/>
      <c r="E62" s="7"/>
      <c r="F62" s="7"/>
      <c r="G62" s="4"/>
    </row>
    <row r="63" spans="1:7" ht="30" customHeight="1" x14ac:dyDescent="0.3">
      <c r="A63" s="4"/>
      <c r="B63" s="4"/>
      <c r="C63" s="4"/>
      <c r="D63" s="4"/>
      <c r="E63" s="7"/>
      <c r="F63" s="7"/>
      <c r="G63" s="4"/>
    </row>
    <row r="64" spans="1:7" ht="30" customHeight="1" x14ac:dyDescent="0.3">
      <c r="A64" s="4"/>
      <c r="B64" s="4"/>
      <c r="C64" s="4"/>
      <c r="D64" s="4"/>
      <c r="E64" s="7"/>
      <c r="F64" s="7"/>
      <c r="G64" s="4"/>
    </row>
    <row r="65" spans="1:7" ht="30" customHeight="1" x14ac:dyDescent="0.3">
      <c r="A65" s="4"/>
      <c r="B65" s="4"/>
      <c r="C65" s="4"/>
      <c r="D65" s="4"/>
      <c r="E65" s="7"/>
      <c r="F65" s="7"/>
      <c r="G65" s="4"/>
    </row>
    <row r="66" spans="1:7" ht="30" customHeight="1" x14ac:dyDescent="0.3">
      <c r="A66" s="4"/>
      <c r="B66" s="4"/>
      <c r="C66" s="4"/>
      <c r="D66" s="4"/>
      <c r="E66" s="7"/>
      <c r="F66" s="7"/>
      <c r="G66" s="4"/>
    </row>
    <row r="67" spans="1:7" ht="30" customHeight="1" x14ac:dyDescent="0.3">
      <c r="A67" s="4"/>
      <c r="B67" s="4"/>
      <c r="C67" s="4"/>
      <c r="D67" s="4"/>
      <c r="E67" s="7"/>
      <c r="F67" s="7"/>
      <c r="G67" s="4"/>
    </row>
    <row r="68" spans="1:7" ht="30" customHeight="1" x14ac:dyDescent="0.3">
      <c r="A68" s="4"/>
      <c r="B68" s="4"/>
      <c r="C68" s="4"/>
      <c r="D68" s="4"/>
      <c r="E68" s="7"/>
      <c r="F68" s="7"/>
      <c r="G68" s="4"/>
    </row>
    <row r="69" spans="1:7" ht="30" customHeight="1" x14ac:dyDescent="0.3">
      <c r="A69" s="4"/>
      <c r="B69" s="4"/>
      <c r="C69" s="4"/>
      <c r="D69" s="4"/>
      <c r="E69" s="7"/>
      <c r="F69" s="7"/>
      <c r="G69" s="4"/>
    </row>
    <row r="70" spans="1:7" ht="30" customHeight="1" x14ac:dyDescent="0.3">
      <c r="A70" s="4"/>
      <c r="B70" s="4"/>
      <c r="C70" s="4"/>
      <c r="D70" s="4"/>
      <c r="E70" s="7"/>
      <c r="F70" s="7"/>
      <c r="G70" s="4"/>
    </row>
    <row r="71" spans="1:7" ht="30" customHeight="1" x14ac:dyDescent="0.3">
      <c r="A71" s="4"/>
      <c r="B71" s="4"/>
      <c r="C71" s="4"/>
      <c r="D71" s="4"/>
      <c r="E71" s="7"/>
      <c r="F71" s="7"/>
      <c r="G71" s="4"/>
    </row>
    <row r="72" spans="1:7" ht="30" customHeight="1" x14ac:dyDescent="0.3">
      <c r="A72" s="4"/>
      <c r="B72" s="4"/>
      <c r="C72" s="4"/>
      <c r="D72" s="4"/>
      <c r="E72" s="7"/>
      <c r="F72" s="7"/>
      <c r="G72" s="4"/>
    </row>
    <row r="73" spans="1:7" ht="30" customHeight="1" x14ac:dyDescent="0.3">
      <c r="A73" s="4"/>
      <c r="B73" s="4"/>
      <c r="C73" s="4"/>
      <c r="D73" s="4"/>
      <c r="E73" s="7"/>
      <c r="F73" s="7"/>
      <c r="G73" s="4"/>
    </row>
    <row r="74" spans="1:7" ht="30" customHeight="1" x14ac:dyDescent="0.3">
      <c r="A74" s="4"/>
      <c r="B74" s="4"/>
      <c r="C74" s="4"/>
      <c r="D74" s="4"/>
      <c r="E74" s="7"/>
      <c r="F74" s="7"/>
      <c r="G74" s="4"/>
    </row>
    <row r="75" spans="1:7" ht="30" customHeight="1" x14ac:dyDescent="0.3">
      <c r="A75" s="4"/>
      <c r="B75" s="4"/>
      <c r="C75" s="4"/>
      <c r="D75" s="4"/>
      <c r="E75" s="7"/>
      <c r="F75" s="7"/>
      <c r="G75" s="4"/>
    </row>
    <row r="76" spans="1:7" ht="30" customHeight="1" x14ac:dyDescent="0.3">
      <c r="A76" s="4"/>
      <c r="B76" s="4"/>
      <c r="C76" s="4"/>
      <c r="D76" s="4"/>
      <c r="E76" s="7"/>
      <c r="F76" s="7"/>
      <c r="G76" s="4"/>
    </row>
    <row r="77" spans="1:7" ht="30" customHeight="1" x14ac:dyDescent="0.3">
      <c r="A77" s="4"/>
      <c r="B77" s="4"/>
      <c r="C77" s="4"/>
      <c r="D77" s="4"/>
      <c r="E77" s="7"/>
      <c r="F77" s="7"/>
      <c r="G77" s="4"/>
    </row>
    <row r="78" spans="1:7" ht="30" customHeight="1" x14ac:dyDescent="0.3">
      <c r="A78" s="4"/>
      <c r="B78" s="4"/>
      <c r="C78" s="4"/>
      <c r="D78" s="4"/>
      <c r="E78" s="7"/>
      <c r="F78" s="7"/>
      <c r="G78" s="4"/>
    </row>
    <row r="79" spans="1:7" ht="30" customHeight="1" x14ac:dyDescent="0.3">
      <c r="A79" s="4"/>
      <c r="B79" s="4"/>
      <c r="C79" s="4"/>
      <c r="D79" s="4"/>
      <c r="E79" s="7"/>
      <c r="F79" s="7"/>
      <c r="G79" s="4"/>
    </row>
    <row r="80" spans="1:7" ht="30" customHeight="1" x14ac:dyDescent="0.3">
      <c r="A80" s="4"/>
      <c r="B80" s="4"/>
      <c r="C80" s="4"/>
      <c r="D80" s="4"/>
      <c r="E80" s="7"/>
      <c r="F80" s="7"/>
      <c r="G80" s="4"/>
    </row>
    <row r="81" spans="1:7" ht="30" customHeight="1" x14ac:dyDescent="0.3">
      <c r="A81" s="4"/>
      <c r="B81" s="4"/>
      <c r="C81" s="4"/>
      <c r="D81" s="4"/>
      <c r="E81" s="7"/>
      <c r="F81" s="7"/>
      <c r="G81" s="4"/>
    </row>
    <row r="82" spans="1:7" ht="30" customHeight="1" x14ac:dyDescent="0.3">
      <c r="A82" s="4"/>
      <c r="B82" s="4"/>
      <c r="C82" s="4"/>
      <c r="D82" s="4"/>
      <c r="E82" s="7"/>
      <c r="F82" s="7"/>
      <c r="G82" s="4"/>
    </row>
    <row r="83" spans="1:7" ht="30" customHeight="1" x14ac:dyDescent="0.3">
      <c r="A83" s="4"/>
      <c r="B83" s="4"/>
      <c r="C83" s="4"/>
      <c r="D83" s="4"/>
      <c r="E83" s="7"/>
      <c r="F83" s="7"/>
      <c r="G83" s="4"/>
    </row>
    <row r="84" spans="1:7" ht="30" customHeight="1" x14ac:dyDescent="0.3">
      <c r="A84" s="4"/>
      <c r="B84" s="4"/>
      <c r="C84" s="4"/>
      <c r="D84" s="4"/>
      <c r="E84" s="7"/>
      <c r="F84" s="7"/>
      <c r="G84" s="4"/>
    </row>
    <row r="85" spans="1:7" ht="30" customHeight="1" x14ac:dyDescent="0.3">
      <c r="A85" s="4"/>
      <c r="B85" s="4"/>
      <c r="C85" s="4"/>
      <c r="D85" s="4"/>
      <c r="E85" s="7"/>
      <c r="F85" s="7"/>
      <c r="G85" s="4"/>
    </row>
    <row r="86" spans="1:7" ht="30" customHeight="1" x14ac:dyDescent="0.3">
      <c r="A86" s="4"/>
      <c r="B86" s="4"/>
      <c r="C86" s="4"/>
      <c r="D86" s="4"/>
      <c r="E86" s="7"/>
      <c r="F86" s="7"/>
      <c r="G86" s="4"/>
    </row>
    <row r="87" spans="1:7" ht="30" customHeight="1" x14ac:dyDescent="0.3">
      <c r="A87" s="4"/>
      <c r="B87" s="4"/>
      <c r="C87" s="4"/>
      <c r="D87" s="4"/>
      <c r="E87" s="7"/>
      <c r="F87" s="7"/>
      <c r="G87" s="4"/>
    </row>
    <row r="88" spans="1:7" ht="30" customHeight="1" x14ac:dyDescent="0.3">
      <c r="A88" s="4"/>
      <c r="B88" s="4"/>
      <c r="C88" s="4"/>
      <c r="D88" s="4"/>
      <c r="E88" s="7"/>
      <c r="F88" s="7"/>
      <c r="G88" s="4"/>
    </row>
    <row r="89" spans="1:7" ht="30" customHeight="1" x14ac:dyDescent="0.3">
      <c r="A89" s="4"/>
      <c r="B89" s="4"/>
      <c r="C89" s="4"/>
      <c r="D89" s="4"/>
      <c r="E89" s="7"/>
      <c r="F89" s="7"/>
      <c r="G89" s="4"/>
    </row>
    <row r="90" spans="1:7" ht="30" customHeight="1" x14ac:dyDescent="0.3">
      <c r="A90" s="4"/>
      <c r="B90" s="4"/>
      <c r="C90" s="4"/>
      <c r="D90" s="4"/>
      <c r="E90" s="7"/>
      <c r="F90" s="7"/>
      <c r="G90" s="4"/>
    </row>
    <row r="91" spans="1:7" ht="30" customHeight="1" x14ac:dyDescent="0.3">
      <c r="A91" s="4"/>
      <c r="B91" s="4"/>
      <c r="C91" s="4"/>
      <c r="D91" s="4"/>
      <c r="E91" s="7"/>
      <c r="F91" s="7"/>
      <c r="G91" s="4"/>
    </row>
    <row r="92" spans="1:7" ht="30" customHeight="1" x14ac:dyDescent="0.3">
      <c r="A92" s="4"/>
      <c r="B92" s="4"/>
      <c r="C92" s="4"/>
      <c r="D92" s="4"/>
      <c r="E92" s="7"/>
      <c r="F92" s="7"/>
      <c r="G92" s="4"/>
    </row>
    <row r="93" spans="1:7" ht="30" customHeight="1" x14ac:dyDescent="0.3">
      <c r="A93" s="4"/>
      <c r="B93" s="4"/>
      <c r="C93" s="4"/>
      <c r="D93" s="4"/>
      <c r="E93" s="7"/>
      <c r="F93" s="7"/>
      <c r="G93" s="4"/>
    </row>
    <row r="94" spans="1:7" ht="30" customHeight="1" x14ac:dyDescent="0.3">
      <c r="A94" s="4"/>
      <c r="B94" s="4"/>
      <c r="C94" s="4"/>
      <c r="D94" s="4"/>
      <c r="E94" s="7"/>
      <c r="F94" s="7"/>
      <c r="G94" s="4"/>
    </row>
    <row r="95" spans="1:7" ht="30" customHeight="1" x14ac:dyDescent="0.3">
      <c r="A95" s="4"/>
      <c r="B95" s="4"/>
      <c r="C95" s="4"/>
      <c r="D95" s="4"/>
      <c r="E95" s="7"/>
      <c r="F95" s="7"/>
      <c r="G95" s="4"/>
    </row>
    <row r="96" spans="1:7" ht="30" customHeight="1" x14ac:dyDescent="0.3">
      <c r="A96" s="4"/>
      <c r="B96" s="4"/>
      <c r="C96" s="4"/>
      <c r="D96" s="4"/>
      <c r="E96" s="7"/>
      <c r="F96" s="7"/>
      <c r="G96" s="4"/>
    </row>
    <row r="97" spans="1:7" ht="30" customHeight="1" x14ac:dyDescent="0.3">
      <c r="A97" s="4"/>
      <c r="B97" s="4"/>
      <c r="C97" s="4"/>
      <c r="D97" s="4"/>
      <c r="E97" s="7"/>
      <c r="F97" s="7"/>
      <c r="G97" s="4"/>
    </row>
    <row r="98" spans="1:7" ht="30" customHeight="1" x14ac:dyDescent="0.3">
      <c r="A98" s="4"/>
      <c r="B98" s="4"/>
      <c r="C98" s="4"/>
      <c r="D98" s="4"/>
      <c r="E98" s="7"/>
      <c r="F98" s="7"/>
      <c r="G98" s="4"/>
    </row>
    <row r="99" spans="1:7" ht="30" customHeight="1" x14ac:dyDescent="0.3">
      <c r="A99" s="4"/>
      <c r="B99" s="4"/>
      <c r="C99" s="4"/>
      <c r="D99" s="4"/>
      <c r="E99" s="7"/>
      <c r="F99" s="7"/>
      <c r="G99" s="4"/>
    </row>
    <row r="100" spans="1:7" ht="30" customHeight="1" x14ac:dyDescent="0.3">
      <c r="A100" s="4"/>
      <c r="B100" s="4"/>
      <c r="C100" s="4"/>
      <c r="D100" s="4"/>
      <c r="E100" s="7"/>
      <c r="F100" s="7"/>
      <c r="G100" s="4"/>
    </row>
    <row r="101" spans="1:7" ht="30" customHeight="1" x14ac:dyDescent="0.3">
      <c r="A101" s="4"/>
      <c r="B101" s="4"/>
      <c r="C101" s="4"/>
      <c r="D101" s="4"/>
      <c r="E101" s="7"/>
      <c r="F101" s="7"/>
      <c r="G101" s="4"/>
    </row>
    <row r="102" spans="1:7" ht="30" customHeight="1" x14ac:dyDescent="0.3">
      <c r="A102" s="4"/>
      <c r="B102" s="4"/>
      <c r="C102" s="4"/>
      <c r="D102" s="4"/>
      <c r="E102" s="7"/>
      <c r="F102" s="7"/>
      <c r="G102" s="4"/>
    </row>
    <row r="103" spans="1:7" ht="30" customHeight="1" x14ac:dyDescent="0.3">
      <c r="A103" s="4"/>
      <c r="B103" s="4"/>
      <c r="C103" s="4"/>
      <c r="D103" s="4"/>
      <c r="E103" s="7"/>
      <c r="F103" s="7"/>
      <c r="G103" s="4"/>
    </row>
    <row r="104" spans="1:7" ht="30" customHeight="1" x14ac:dyDescent="0.3">
      <c r="A104" s="4"/>
      <c r="B104" s="4"/>
      <c r="C104" s="4"/>
      <c r="D104" s="4"/>
      <c r="E104" s="7"/>
      <c r="F104" s="7"/>
      <c r="G104" s="4"/>
    </row>
    <row r="105" spans="1:7" ht="30" customHeight="1" x14ac:dyDescent="0.3">
      <c r="A105" s="4"/>
      <c r="B105" s="4"/>
      <c r="C105" s="4"/>
      <c r="D105" s="4"/>
      <c r="E105" s="7"/>
      <c r="F105" s="7"/>
      <c r="G105" s="4"/>
    </row>
    <row r="106" spans="1:7" ht="30" customHeight="1" x14ac:dyDescent="0.3">
      <c r="A106" s="4"/>
      <c r="B106" s="4"/>
      <c r="C106" s="4"/>
      <c r="D106" s="4"/>
      <c r="E106" s="7"/>
      <c r="F106" s="7"/>
      <c r="G106" s="4"/>
    </row>
    <row r="107" spans="1:7" ht="30" customHeight="1" x14ac:dyDescent="0.3">
      <c r="A107" s="4"/>
      <c r="B107" s="4"/>
      <c r="C107" s="4"/>
      <c r="D107" s="4"/>
      <c r="E107" s="7"/>
      <c r="F107" s="7"/>
      <c r="G107" s="4"/>
    </row>
    <row r="108" spans="1:7" ht="30" customHeight="1" x14ac:dyDescent="0.3">
      <c r="A108" s="4"/>
      <c r="B108" s="4"/>
      <c r="C108" s="4"/>
      <c r="D108" s="4"/>
      <c r="E108" s="7"/>
      <c r="F108" s="7"/>
      <c r="G108" s="4"/>
    </row>
    <row r="109" spans="1:7" ht="30" customHeight="1" x14ac:dyDescent="0.3">
      <c r="A109" s="4"/>
      <c r="B109" s="4"/>
      <c r="C109" s="4"/>
      <c r="D109" s="4"/>
      <c r="E109" s="7"/>
      <c r="F109" s="7"/>
      <c r="G109" s="4"/>
    </row>
    <row r="110" spans="1:7" ht="30" customHeight="1" x14ac:dyDescent="0.3">
      <c r="A110" s="4"/>
      <c r="B110" s="4"/>
      <c r="C110" s="4"/>
      <c r="D110" s="4"/>
      <c r="E110" s="7"/>
      <c r="F110" s="7"/>
      <c r="G110" s="4"/>
    </row>
    <row r="111" spans="1:7" ht="30" customHeight="1" x14ac:dyDescent="0.3">
      <c r="A111" s="4"/>
      <c r="B111" s="4"/>
      <c r="C111" s="4"/>
      <c r="D111" s="4"/>
      <c r="E111" s="7"/>
      <c r="F111" s="7"/>
      <c r="G111" s="4"/>
    </row>
    <row r="112" spans="1:7" ht="30" customHeight="1" x14ac:dyDescent="0.3">
      <c r="A112" s="4"/>
      <c r="B112" s="4"/>
      <c r="C112" s="4"/>
      <c r="D112" s="4"/>
      <c r="E112" s="7"/>
      <c r="F112" s="7"/>
      <c r="G112" s="4"/>
    </row>
    <row r="113" spans="1:7" ht="30" customHeight="1" x14ac:dyDescent="0.3">
      <c r="A113" s="4"/>
      <c r="B113" s="4"/>
      <c r="C113" s="4"/>
      <c r="D113" s="4"/>
      <c r="E113" s="7"/>
      <c r="F113" s="7"/>
      <c r="G113" s="4"/>
    </row>
    <row r="114" spans="1:7" ht="30" customHeight="1" x14ac:dyDescent="0.3">
      <c r="A114" s="4"/>
      <c r="B114" s="4"/>
      <c r="C114" s="4"/>
      <c r="D114" s="4"/>
      <c r="E114" s="7"/>
      <c r="F114" s="7"/>
      <c r="G114" s="4"/>
    </row>
    <row r="115" spans="1:7" ht="30" customHeight="1" x14ac:dyDescent="0.3">
      <c r="A115" s="4"/>
      <c r="B115" s="4"/>
      <c r="C115" s="4"/>
      <c r="D115" s="4"/>
      <c r="E115" s="7"/>
      <c r="F115" s="7"/>
      <c r="G115" s="4"/>
    </row>
    <row r="116" spans="1:7" ht="30" customHeight="1" x14ac:dyDescent="0.3">
      <c r="A116" s="4"/>
      <c r="B116" s="4"/>
      <c r="C116" s="4"/>
      <c r="D116" s="4"/>
      <c r="E116" s="7"/>
      <c r="F116" s="7"/>
      <c r="G116" s="4"/>
    </row>
    <row r="117" spans="1:7" ht="30" customHeight="1" x14ac:dyDescent="0.3">
      <c r="A117" s="4"/>
      <c r="B117" s="4"/>
      <c r="C117" s="4"/>
      <c r="D117" s="4"/>
      <c r="E117" s="7"/>
      <c r="F117" s="7"/>
      <c r="G117" s="4"/>
    </row>
    <row r="118" spans="1:7" ht="30" customHeight="1" x14ac:dyDescent="0.3">
      <c r="A118" s="4"/>
      <c r="B118" s="4"/>
      <c r="C118" s="4"/>
      <c r="D118" s="4"/>
      <c r="E118" s="7"/>
      <c r="F118" s="7"/>
      <c r="G118" s="4"/>
    </row>
    <row r="119" spans="1:7" ht="30" customHeight="1" x14ac:dyDescent="0.3">
      <c r="A119" s="4"/>
      <c r="B119" s="4"/>
      <c r="C119" s="4"/>
      <c r="D119" s="4"/>
      <c r="E119" s="7"/>
      <c r="F119" s="7"/>
      <c r="G119" s="4"/>
    </row>
    <row r="120" spans="1:7" ht="30" customHeight="1" x14ac:dyDescent="0.3">
      <c r="A120" s="4"/>
      <c r="B120" s="4"/>
      <c r="C120" s="4"/>
      <c r="D120" s="4"/>
      <c r="E120" s="7"/>
      <c r="F120" s="7"/>
      <c r="G120" s="4"/>
    </row>
    <row r="121" spans="1:7" ht="30" customHeight="1" x14ac:dyDescent="0.3">
      <c r="A121" s="4"/>
      <c r="B121" s="4"/>
      <c r="C121" s="4"/>
      <c r="D121" s="4"/>
      <c r="E121" s="7"/>
      <c r="F121" s="7"/>
      <c r="G121" s="4"/>
    </row>
    <row r="122" spans="1:7" ht="30" customHeight="1" x14ac:dyDescent="0.3">
      <c r="A122" s="4"/>
      <c r="B122" s="4"/>
      <c r="C122" s="4"/>
      <c r="D122" s="4"/>
      <c r="E122" s="7"/>
      <c r="F122" s="7"/>
      <c r="G122" s="4"/>
    </row>
    <row r="123" spans="1:7" ht="30" customHeight="1" x14ac:dyDescent="0.3">
      <c r="A123" s="4"/>
      <c r="B123" s="4"/>
      <c r="C123" s="4"/>
      <c r="D123" s="4"/>
      <c r="E123" s="7"/>
      <c r="F123" s="7"/>
      <c r="G123" s="4"/>
    </row>
    <row r="124" spans="1:7" ht="30" customHeight="1" x14ac:dyDescent="0.3">
      <c r="A124" s="4"/>
      <c r="B124" s="4"/>
      <c r="C124" s="4"/>
      <c r="D124" s="4"/>
      <c r="E124" s="7"/>
      <c r="F124" s="7"/>
      <c r="G124" s="4"/>
    </row>
    <row r="125" spans="1:7" ht="30" customHeight="1" x14ac:dyDescent="0.3">
      <c r="A125" s="4"/>
      <c r="B125" s="4"/>
      <c r="C125" s="4"/>
      <c r="D125" s="4"/>
      <c r="E125" s="7"/>
      <c r="F125" s="7"/>
      <c r="G125" s="4"/>
    </row>
    <row r="126" spans="1:7" ht="30" customHeight="1" x14ac:dyDescent="0.3">
      <c r="A126" s="4"/>
      <c r="B126" s="4"/>
      <c r="C126" s="4"/>
      <c r="D126" s="4"/>
      <c r="E126" s="7"/>
      <c r="F126" s="7"/>
      <c r="G126" s="4"/>
    </row>
    <row r="127" spans="1:7" ht="30" customHeight="1" x14ac:dyDescent="0.3">
      <c r="A127" s="4"/>
      <c r="B127" s="4"/>
      <c r="C127" s="4"/>
      <c r="D127" s="4"/>
      <c r="E127" s="7"/>
      <c r="F127" s="7"/>
      <c r="G127" s="4"/>
    </row>
    <row r="128" spans="1:7" ht="30" customHeight="1" x14ac:dyDescent="0.3">
      <c r="A128" s="4"/>
      <c r="B128" s="4"/>
      <c r="C128" s="4"/>
      <c r="D128" s="4"/>
      <c r="E128" s="7"/>
      <c r="F128" s="7"/>
      <c r="G128" s="4"/>
    </row>
    <row r="129" spans="1:7" ht="30" customHeight="1" x14ac:dyDescent="0.3">
      <c r="A129" s="4"/>
      <c r="B129" s="4"/>
      <c r="C129" s="4"/>
      <c r="D129" s="4"/>
      <c r="E129" s="7"/>
      <c r="F129" s="7"/>
      <c r="G129" s="4"/>
    </row>
    <row r="130" spans="1:7" ht="30" customHeight="1" x14ac:dyDescent="0.3">
      <c r="A130" s="4"/>
      <c r="B130" s="4"/>
      <c r="C130" s="4"/>
      <c r="D130" s="4"/>
      <c r="E130" s="7"/>
      <c r="F130" s="7"/>
      <c r="G130" s="4"/>
    </row>
    <row r="131" spans="1:7" ht="30" customHeight="1" x14ac:dyDescent="0.3">
      <c r="A131" s="4"/>
      <c r="B131" s="4"/>
      <c r="C131" s="4"/>
      <c r="D131" s="4"/>
      <c r="E131" s="7"/>
      <c r="F131" s="7"/>
      <c r="G131" s="4"/>
    </row>
    <row r="132" spans="1:7" ht="30" customHeight="1" x14ac:dyDescent="0.3">
      <c r="A132" s="4"/>
      <c r="B132" s="4"/>
      <c r="C132" s="4"/>
      <c r="D132" s="4"/>
      <c r="E132" s="7"/>
      <c r="F132" s="7"/>
      <c r="G132" s="4"/>
    </row>
    <row r="133" spans="1:7" ht="30" customHeight="1" x14ac:dyDescent="0.3">
      <c r="A133" s="4"/>
      <c r="B133" s="4"/>
      <c r="C133" s="4"/>
      <c r="D133" s="4"/>
      <c r="E133" s="7"/>
      <c r="F133" s="7"/>
      <c r="G133" s="4"/>
    </row>
    <row r="134" spans="1:7" ht="30" customHeight="1" x14ac:dyDescent="0.3">
      <c r="A134" s="4"/>
      <c r="B134" s="4"/>
      <c r="C134" s="4"/>
      <c r="D134" s="4"/>
      <c r="E134" s="7"/>
      <c r="F134" s="7"/>
      <c r="G134" s="4"/>
    </row>
    <row r="135" spans="1:7" ht="30" customHeight="1" x14ac:dyDescent="0.3">
      <c r="A135" s="4"/>
      <c r="B135" s="4"/>
      <c r="C135" s="4"/>
      <c r="D135" s="4"/>
      <c r="E135" s="7"/>
      <c r="F135" s="7"/>
      <c r="G135" s="4"/>
    </row>
    <row r="136" spans="1:7" ht="30" customHeight="1" x14ac:dyDescent="0.3">
      <c r="A136" s="4"/>
      <c r="B136" s="4"/>
      <c r="C136" s="4"/>
      <c r="D136" s="4"/>
      <c r="E136" s="7"/>
      <c r="F136" s="7"/>
      <c r="G136" s="4"/>
    </row>
    <row r="137" spans="1:7" ht="30" customHeight="1" x14ac:dyDescent="0.3">
      <c r="A137" s="4"/>
      <c r="B137" s="4"/>
      <c r="C137" s="4"/>
      <c r="D137" s="4"/>
      <c r="E137" s="7"/>
      <c r="F137" s="7"/>
      <c r="G137" s="4"/>
    </row>
    <row r="138" spans="1:7" ht="30" customHeight="1" x14ac:dyDescent="0.3">
      <c r="A138" s="4"/>
      <c r="B138" s="4"/>
      <c r="C138" s="4"/>
      <c r="D138" s="4"/>
      <c r="E138" s="7"/>
      <c r="F138" s="7"/>
      <c r="G138" s="4"/>
    </row>
    <row r="139" spans="1:7" ht="30" customHeight="1" x14ac:dyDescent="0.3">
      <c r="A139" s="4"/>
      <c r="B139" s="4"/>
      <c r="C139" s="4"/>
      <c r="D139" s="4"/>
      <c r="E139" s="7"/>
      <c r="F139" s="7"/>
      <c r="G139" s="4"/>
    </row>
    <row r="140" spans="1:7" ht="30" customHeight="1" x14ac:dyDescent="0.3">
      <c r="A140" s="4"/>
      <c r="B140" s="4"/>
      <c r="C140" s="4"/>
      <c r="D140" s="4"/>
      <c r="E140" s="7"/>
      <c r="F140" s="7"/>
      <c r="G140" s="4"/>
    </row>
    <row r="141" spans="1:7" ht="30" customHeight="1" x14ac:dyDescent="0.3">
      <c r="A141" s="4"/>
      <c r="B141" s="4"/>
      <c r="C141" s="4"/>
      <c r="D141" s="4"/>
      <c r="E141" s="7"/>
      <c r="F141" s="7"/>
      <c r="G141" s="4"/>
    </row>
    <row r="142" spans="1:7" ht="30" customHeight="1" x14ac:dyDescent="0.3">
      <c r="A142" s="4"/>
      <c r="B142" s="4"/>
      <c r="C142" s="4"/>
      <c r="D142" s="4"/>
      <c r="E142" s="7"/>
      <c r="F142" s="7"/>
      <c r="G142" s="4"/>
    </row>
    <row r="143" spans="1:7" ht="30" customHeight="1" x14ac:dyDescent="0.3">
      <c r="A143" s="4"/>
      <c r="B143" s="4"/>
      <c r="C143" s="4"/>
      <c r="D143" s="4"/>
      <c r="E143" s="7"/>
      <c r="F143" s="7"/>
      <c r="G143" s="4"/>
    </row>
    <row r="144" spans="1:7" ht="30" customHeight="1" x14ac:dyDescent="0.3">
      <c r="A144" s="4"/>
      <c r="B144" s="4"/>
      <c r="C144" s="4"/>
      <c r="D144" s="4"/>
      <c r="E144" s="7"/>
      <c r="F144" s="7"/>
      <c r="G144" s="4"/>
    </row>
    <row r="145" spans="1:7" ht="30" customHeight="1" x14ac:dyDescent="0.3">
      <c r="A145" s="4"/>
      <c r="B145" s="4"/>
      <c r="C145" s="4"/>
      <c r="D145" s="4"/>
      <c r="E145" s="7"/>
      <c r="F145" s="7"/>
      <c r="G145" s="4"/>
    </row>
    <row r="146" spans="1:7" ht="30" customHeight="1" x14ac:dyDescent="0.3">
      <c r="A146" s="4"/>
      <c r="B146" s="4"/>
      <c r="C146" s="4"/>
      <c r="D146" s="4"/>
      <c r="E146" s="7"/>
      <c r="F146" s="7"/>
      <c r="G146" s="4"/>
    </row>
    <row r="147" spans="1:7" ht="30" customHeight="1" x14ac:dyDescent="0.3">
      <c r="A147" s="4"/>
      <c r="B147" s="4"/>
      <c r="C147" s="4"/>
      <c r="D147" s="4"/>
      <c r="E147" s="7"/>
      <c r="F147" s="7"/>
      <c r="G147" s="4"/>
    </row>
    <row r="148" spans="1:7" ht="30" customHeight="1" x14ac:dyDescent="0.3">
      <c r="A148" s="4"/>
      <c r="B148" s="4"/>
      <c r="C148" s="4"/>
      <c r="D148" s="4"/>
      <c r="E148" s="7"/>
      <c r="F148" s="7"/>
      <c r="G148" s="4"/>
    </row>
    <row r="149" spans="1:7" ht="30" customHeight="1" x14ac:dyDescent="0.3">
      <c r="A149" s="4"/>
      <c r="B149" s="4"/>
      <c r="C149" s="4"/>
      <c r="D149" s="4"/>
      <c r="E149" s="7"/>
      <c r="F149" s="7"/>
      <c r="G149" s="4"/>
    </row>
    <row r="150" spans="1:7" ht="30" customHeight="1" x14ac:dyDescent="0.3">
      <c r="A150" s="4"/>
      <c r="B150" s="4"/>
      <c r="C150" s="4"/>
      <c r="D150" s="4"/>
      <c r="E150" s="7"/>
      <c r="F150" s="7"/>
      <c r="G150" s="4"/>
    </row>
    <row r="151" spans="1:7" ht="30" customHeight="1" x14ac:dyDescent="0.3">
      <c r="A151" s="4"/>
      <c r="B151" s="4"/>
      <c r="C151" s="4"/>
      <c r="D151" s="4"/>
      <c r="E151" s="7"/>
      <c r="F151" s="7"/>
      <c r="G151" s="4"/>
    </row>
    <row r="152" spans="1:7" ht="30" customHeight="1" x14ac:dyDescent="0.3">
      <c r="A152" s="4"/>
      <c r="B152" s="4"/>
      <c r="C152" s="4"/>
      <c r="D152" s="4"/>
      <c r="E152" s="7"/>
      <c r="F152" s="7"/>
      <c r="G152" s="4"/>
    </row>
    <row r="153" spans="1:7" ht="30" customHeight="1" x14ac:dyDescent="0.3">
      <c r="A153" s="4"/>
      <c r="B153" s="4"/>
      <c r="C153" s="4"/>
      <c r="D153" s="4"/>
      <c r="E153" s="7"/>
      <c r="F153" s="7"/>
      <c r="G153" s="4"/>
    </row>
    <row r="154" spans="1:7" ht="30" customHeight="1" x14ac:dyDescent="0.3">
      <c r="A154" s="4"/>
      <c r="B154" s="4"/>
      <c r="C154" s="4"/>
      <c r="D154" s="4"/>
      <c r="E154" s="7"/>
      <c r="F154" s="7"/>
      <c r="G154" s="4"/>
    </row>
    <row r="155" spans="1:7" ht="30" customHeight="1" x14ac:dyDescent="0.3">
      <c r="A155" s="4"/>
      <c r="B155" s="4"/>
      <c r="C155" s="4"/>
      <c r="D155" s="4"/>
      <c r="E155" s="7"/>
      <c r="F155" s="7"/>
      <c r="G155" s="4"/>
    </row>
    <row r="156" spans="1:7" ht="30" customHeight="1" x14ac:dyDescent="0.3">
      <c r="A156" s="4"/>
      <c r="B156" s="4"/>
      <c r="C156" s="4"/>
      <c r="D156" s="4"/>
      <c r="E156" s="7"/>
      <c r="F156" s="7"/>
      <c r="G156" s="4"/>
    </row>
    <row r="157" spans="1:7" ht="30" customHeight="1" x14ac:dyDescent="0.3">
      <c r="A157" s="4"/>
      <c r="B157" s="4"/>
      <c r="C157" s="4"/>
      <c r="D157" s="4"/>
      <c r="E157" s="7"/>
      <c r="F157" s="7"/>
      <c r="G157" s="4"/>
    </row>
    <row r="158" spans="1:7" ht="30" customHeight="1" x14ac:dyDescent="0.3">
      <c r="A158" s="4"/>
      <c r="B158" s="4"/>
      <c r="C158" s="4"/>
      <c r="D158" s="4"/>
      <c r="E158" s="7"/>
      <c r="F158" s="7"/>
      <c r="G158" s="4"/>
    </row>
    <row r="159" spans="1:7" ht="30" customHeight="1" x14ac:dyDescent="0.3">
      <c r="A159" s="4"/>
      <c r="B159" s="4"/>
      <c r="C159" s="4"/>
      <c r="D159" s="4"/>
      <c r="E159" s="7"/>
      <c r="F159" s="7"/>
      <c r="G159" s="4"/>
    </row>
    <row r="160" spans="1:7" ht="30" customHeight="1" x14ac:dyDescent="0.3">
      <c r="A160" s="4"/>
      <c r="B160" s="4"/>
      <c r="C160" s="4"/>
      <c r="D160" s="4"/>
      <c r="E160" s="7"/>
      <c r="F160" s="7"/>
      <c r="G160" s="4"/>
    </row>
    <row r="161" spans="1:7" ht="30" customHeight="1" x14ac:dyDescent="0.3">
      <c r="A161" s="4"/>
      <c r="B161" s="4"/>
      <c r="C161" s="4"/>
      <c r="D161" s="4"/>
      <c r="E161" s="7"/>
      <c r="F161" s="7"/>
      <c r="G161" s="4"/>
    </row>
    <row r="162" spans="1:7" ht="30" customHeight="1" x14ac:dyDescent="0.3">
      <c r="A162" s="4"/>
      <c r="B162" s="4"/>
      <c r="C162" s="4"/>
      <c r="D162" s="4"/>
      <c r="E162" s="7"/>
      <c r="F162" s="7"/>
      <c r="G162" s="4"/>
    </row>
    <row r="163" spans="1:7" ht="30" customHeight="1" x14ac:dyDescent="0.3">
      <c r="A163" s="4"/>
      <c r="B163" s="4"/>
      <c r="C163" s="4"/>
      <c r="D163" s="4"/>
      <c r="E163" s="7"/>
      <c r="F163" s="7"/>
      <c r="G163" s="4"/>
    </row>
    <row r="164" spans="1:7" ht="30" customHeight="1" x14ac:dyDescent="0.3">
      <c r="A164" s="4"/>
      <c r="B164" s="4"/>
      <c r="C164" s="4"/>
      <c r="D164" s="4"/>
      <c r="E164" s="7"/>
      <c r="F164" s="7"/>
      <c r="G164" s="4"/>
    </row>
    <row r="165" spans="1:7" ht="30" customHeight="1" x14ac:dyDescent="0.3">
      <c r="A165" s="4"/>
      <c r="B165" s="4"/>
      <c r="C165" s="4"/>
      <c r="D165" s="4"/>
      <c r="E165" s="7"/>
      <c r="F165" s="7"/>
      <c r="G165" s="4"/>
    </row>
    <row r="166" spans="1:7" ht="30" customHeight="1" x14ac:dyDescent="0.3">
      <c r="A166" s="4"/>
      <c r="B166" s="4"/>
      <c r="C166" s="4"/>
      <c r="D166" s="4"/>
      <c r="E166" s="7"/>
      <c r="F166" s="7"/>
      <c r="G166" s="4"/>
    </row>
    <row r="167" spans="1:7" ht="30" customHeight="1" x14ac:dyDescent="0.3">
      <c r="A167" s="4"/>
      <c r="B167" s="4"/>
      <c r="C167" s="4"/>
      <c r="D167" s="4"/>
      <c r="E167" s="7"/>
      <c r="F167" s="7"/>
      <c r="G167" s="4"/>
    </row>
    <row r="168" spans="1:7" ht="30" customHeight="1" x14ac:dyDescent="0.3">
      <c r="A168" s="4"/>
      <c r="B168" s="4"/>
      <c r="C168" s="4"/>
      <c r="D168" s="4"/>
      <c r="E168" s="7"/>
      <c r="F168" s="7"/>
      <c r="G168" s="4"/>
    </row>
    <row r="169" spans="1:7" ht="30" customHeight="1" x14ac:dyDescent="0.3">
      <c r="A169" s="4"/>
      <c r="B169" s="4"/>
      <c r="C169" s="4"/>
      <c r="D169" s="4"/>
      <c r="E169" s="7"/>
      <c r="F169" s="7"/>
      <c r="G169" s="4"/>
    </row>
    <row r="170" spans="1:7" ht="30" customHeight="1" x14ac:dyDescent="0.3">
      <c r="A170" s="4"/>
      <c r="B170" s="4"/>
      <c r="C170" s="4"/>
      <c r="D170" s="4"/>
      <c r="E170" s="7"/>
      <c r="F170" s="7"/>
      <c r="G170" s="4"/>
    </row>
    <row r="171" spans="1:7" ht="30" customHeight="1" x14ac:dyDescent="0.3">
      <c r="A171" s="4"/>
      <c r="B171" s="4"/>
      <c r="C171" s="4"/>
      <c r="D171" s="4"/>
      <c r="E171" s="7"/>
      <c r="F171" s="7"/>
      <c r="G171" s="4"/>
    </row>
    <row r="172" spans="1:7" ht="30" customHeight="1" x14ac:dyDescent="0.3">
      <c r="A172" s="4"/>
      <c r="B172" s="4"/>
      <c r="C172" s="4"/>
      <c r="D172" s="4"/>
      <c r="E172" s="7"/>
      <c r="F172" s="7"/>
      <c r="G172" s="4"/>
    </row>
    <row r="173" spans="1:7" ht="30" customHeight="1" x14ac:dyDescent="0.3">
      <c r="A173" s="4"/>
      <c r="B173" s="4"/>
      <c r="C173" s="4"/>
      <c r="D173" s="4"/>
      <c r="E173" s="7"/>
      <c r="F173" s="7"/>
      <c r="G173" s="4"/>
    </row>
    <row r="174" spans="1:7" ht="30" customHeight="1" x14ac:dyDescent="0.3">
      <c r="A174" s="4"/>
      <c r="B174" s="4"/>
      <c r="C174" s="4"/>
      <c r="D174" s="4"/>
      <c r="E174" s="7"/>
      <c r="F174" s="7"/>
      <c r="G174" s="4"/>
    </row>
    <row r="175" spans="1:7" ht="30" customHeight="1" x14ac:dyDescent="0.3">
      <c r="A175" s="4"/>
      <c r="B175" s="4"/>
      <c r="C175" s="4"/>
      <c r="D175" s="4"/>
      <c r="E175" s="7"/>
      <c r="F175" s="7"/>
      <c r="G175" s="4"/>
    </row>
    <row r="176" spans="1:7" ht="30" customHeight="1" x14ac:dyDescent="0.3">
      <c r="A176" s="4"/>
      <c r="B176" s="4"/>
      <c r="C176" s="4"/>
      <c r="D176" s="4"/>
      <c r="E176" s="7"/>
      <c r="F176" s="7"/>
      <c r="G176" s="4"/>
    </row>
    <row r="177" spans="1:7" ht="30" customHeight="1" x14ac:dyDescent="0.3">
      <c r="A177" s="4"/>
      <c r="B177" s="4"/>
      <c r="C177" s="4"/>
      <c r="D177" s="4"/>
      <c r="E177" s="7"/>
      <c r="F177" s="7"/>
      <c r="G177" s="4"/>
    </row>
    <row r="178" spans="1:7" ht="30" customHeight="1" x14ac:dyDescent="0.3">
      <c r="A178" s="4"/>
      <c r="B178" s="4"/>
      <c r="C178" s="4"/>
      <c r="D178" s="4"/>
      <c r="E178" s="7"/>
      <c r="F178" s="7"/>
      <c r="G178" s="4"/>
    </row>
    <row r="179" spans="1:7" ht="30" customHeight="1" x14ac:dyDescent="0.3">
      <c r="A179" s="4"/>
      <c r="B179" s="4"/>
      <c r="C179" s="4"/>
      <c r="D179" s="4"/>
      <c r="E179" s="7"/>
      <c r="F179" s="7"/>
      <c r="G179" s="4"/>
    </row>
    <row r="180" spans="1:7" ht="30" customHeight="1" x14ac:dyDescent="0.3">
      <c r="A180" s="4"/>
      <c r="B180" s="4"/>
      <c r="C180" s="4"/>
      <c r="D180" s="4"/>
      <c r="E180" s="7"/>
      <c r="F180" s="7"/>
      <c r="G180" s="4"/>
    </row>
    <row r="181" spans="1:7" ht="30" customHeight="1" x14ac:dyDescent="0.3">
      <c r="A181" s="4"/>
      <c r="B181" s="4"/>
      <c r="C181" s="4"/>
      <c r="D181" s="4"/>
      <c r="E181" s="7"/>
      <c r="F181" s="7"/>
      <c r="G181" s="4"/>
    </row>
    <row r="182" spans="1:7" ht="30" customHeight="1" x14ac:dyDescent="0.3">
      <c r="A182" s="4"/>
      <c r="B182" s="4"/>
      <c r="C182" s="4"/>
      <c r="D182" s="4"/>
      <c r="E182" s="7"/>
      <c r="F182" s="7"/>
      <c r="G182" s="4"/>
    </row>
    <row r="183" spans="1:7" ht="30" customHeight="1" x14ac:dyDescent="0.3">
      <c r="A183" s="4"/>
      <c r="B183" s="4"/>
      <c r="C183" s="4"/>
      <c r="D183" s="4"/>
      <c r="E183" s="7"/>
      <c r="F183" s="7"/>
      <c r="G183" s="4"/>
    </row>
    <row r="184" spans="1:7" ht="30" customHeight="1" x14ac:dyDescent="0.3">
      <c r="A184" s="4"/>
      <c r="B184" s="4"/>
      <c r="C184" s="4"/>
      <c r="D184" s="4"/>
      <c r="E184" s="7"/>
      <c r="F184" s="7"/>
      <c r="G184" s="4"/>
    </row>
    <row r="185" spans="1:7" ht="30" customHeight="1" x14ac:dyDescent="0.3">
      <c r="A185" s="4"/>
      <c r="B185" s="4"/>
      <c r="C185" s="4"/>
      <c r="D185" s="4"/>
      <c r="E185" s="7"/>
      <c r="F185" s="7"/>
      <c r="G185" s="4"/>
    </row>
    <row r="186" spans="1:7" ht="30" customHeight="1" x14ac:dyDescent="0.3">
      <c r="A186" s="4"/>
      <c r="B186" s="4"/>
      <c r="C186" s="4"/>
      <c r="D186" s="4"/>
      <c r="E186" s="7"/>
      <c r="F186" s="7"/>
      <c r="G186" s="4"/>
    </row>
    <row r="187" spans="1:7" ht="30" customHeight="1" x14ac:dyDescent="0.3">
      <c r="A187" s="4"/>
      <c r="B187" s="4"/>
      <c r="C187" s="4"/>
      <c r="D187" s="4"/>
      <c r="E187" s="7"/>
      <c r="F187" s="7"/>
      <c r="G187" s="4"/>
    </row>
    <row r="188" spans="1:7" ht="30" customHeight="1" x14ac:dyDescent="0.3">
      <c r="A188" s="4"/>
      <c r="B188" s="4"/>
      <c r="C188" s="4"/>
      <c r="D188" s="4"/>
      <c r="E188" s="7"/>
      <c r="F188" s="7"/>
      <c r="G188" s="4"/>
    </row>
    <row r="189" spans="1:7" ht="30" customHeight="1" x14ac:dyDescent="0.3">
      <c r="A189" s="4"/>
      <c r="B189" s="4"/>
      <c r="C189" s="4"/>
      <c r="D189" s="4"/>
      <c r="E189" s="7"/>
      <c r="F189" s="7"/>
      <c r="G189" s="4"/>
    </row>
    <row r="190" spans="1:7" ht="30" customHeight="1" x14ac:dyDescent="0.3">
      <c r="A190" s="4"/>
      <c r="B190" s="4"/>
      <c r="C190" s="4"/>
      <c r="D190" s="4"/>
      <c r="E190" s="7"/>
      <c r="F190" s="7"/>
      <c r="G190" s="4"/>
    </row>
    <row r="191" spans="1:7" ht="30" customHeight="1" x14ac:dyDescent="0.3">
      <c r="A191" s="4"/>
      <c r="B191" s="4"/>
      <c r="C191" s="4"/>
      <c r="D191" s="4"/>
      <c r="E191" s="7"/>
      <c r="F191" s="7"/>
      <c r="G191" s="4"/>
    </row>
  </sheetData>
  <conditionalFormatting sqref="A2:G191">
    <cfRule type="containsBlanks" dxfId="51" priority="5">
      <formula>LEN(TRIM(A2))=0</formula>
    </cfRule>
    <cfRule type="notContainsBlanks" dxfId="50" priority="6">
      <formula>LEN(TRIM(A2))&gt;0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89616-9A50-4FB5-8EE3-CF0BAA589376}">
  <sheetPr codeName="Sheet3">
    <tabColor theme="7" tint="0.39997558519241921"/>
  </sheetPr>
  <dimension ref="A1:G197"/>
  <sheetViews>
    <sheetView showGridLines="0" tabSelected="1" workbookViewId="0">
      <pane ySplit="1" topLeftCell="A2" activePane="bottomLeft" state="frozen"/>
      <selection pane="bottomLeft" activeCell="I3" sqref="I3"/>
    </sheetView>
  </sheetViews>
  <sheetFormatPr defaultColWidth="20.77734375" defaultRowHeight="30" customHeight="1" x14ac:dyDescent="0.3"/>
  <cols>
    <col min="1" max="3" width="20.77734375" style="2"/>
    <col min="4" max="6" width="20.77734375" style="8"/>
    <col min="7" max="7" width="20.77734375" style="2"/>
    <col min="8" max="16384" width="20.77734375" style="1"/>
  </cols>
  <sheetData>
    <row r="1" spans="1:7" ht="30" customHeight="1" x14ac:dyDescent="0.3">
      <c r="A1" s="3" t="s">
        <v>0</v>
      </c>
      <c r="B1" s="3" t="s">
        <v>1</v>
      </c>
      <c r="C1" s="3" t="s">
        <v>2</v>
      </c>
      <c r="D1" s="6" t="s">
        <v>3</v>
      </c>
      <c r="E1" s="6" t="s">
        <v>10</v>
      </c>
      <c r="F1" s="6" t="s">
        <v>11</v>
      </c>
      <c r="G1" s="3" t="s">
        <v>6</v>
      </c>
    </row>
    <row r="2" spans="1:7" ht="30" customHeight="1" x14ac:dyDescent="0.3">
      <c r="A2" s="4"/>
      <c r="B2" s="4"/>
      <c r="C2" s="4"/>
      <c r="D2" s="7"/>
      <c r="E2" s="10"/>
      <c r="F2" s="7"/>
      <c r="G2" s="4"/>
    </row>
    <row r="3" spans="1:7" ht="30" customHeight="1" x14ac:dyDescent="0.3">
      <c r="A3" s="4"/>
      <c r="B3" s="4" t="str">
        <f>IF(Table13[[#This Row],[Product ID]]="","",VLOOKUP(Table13[[#This Row],[Product ID]],data,2,FALSE))</f>
        <v/>
      </c>
      <c r="C3" s="4" t="str">
        <f>IF(Table13[[#This Row],[Product ID]]="","",VLOOKUP(Table13[[#This Row],[Product ID]],data,3,FALSE))</f>
        <v/>
      </c>
      <c r="D3" s="7" t="str">
        <f>IF(Table13[[#This Row],[Product ID]]="","",VLOOKUP(Table13[[#This Row],[Product ID]],data,4,FALSE))</f>
        <v/>
      </c>
      <c r="E3" s="7"/>
      <c r="F3" s="7" t="str">
        <f>IF(Table13[[#This Row],[Product ID]]="","",PRODUCT(Table13[[#This Row],[Unit ]]*Table13[[#This Row],[Qty]]))</f>
        <v/>
      </c>
      <c r="G3" s="4"/>
    </row>
    <row r="4" spans="1:7" ht="30" customHeight="1" x14ac:dyDescent="0.3">
      <c r="A4" s="4"/>
      <c r="B4" s="4" t="str">
        <f>IF(Table13[[#This Row],[Product ID]]="","",VLOOKUP(Table13[[#This Row],[Product ID]],data,2,FALSE))</f>
        <v/>
      </c>
      <c r="C4" s="4" t="str">
        <f>IF(Table13[[#This Row],[Product ID]]="","",VLOOKUP(Table13[[#This Row],[Product ID]],data,3,FALSE))</f>
        <v/>
      </c>
      <c r="D4" s="7" t="str">
        <f>IF(Table13[[#This Row],[Product ID]]="","",VLOOKUP(Table13[[#This Row],[Product ID]],data,4,FALSE))</f>
        <v/>
      </c>
      <c r="E4" s="7"/>
      <c r="F4" s="7" t="str">
        <f>IF(Table13[[#This Row],[Product ID]]="","",PRODUCT(Table13[[#This Row],[Unit ]]*Table13[[#This Row],[Qty]]))</f>
        <v/>
      </c>
      <c r="G4" s="4"/>
    </row>
    <row r="5" spans="1:7" ht="30" customHeight="1" x14ac:dyDescent="0.3">
      <c r="A5" s="4"/>
      <c r="B5" s="4" t="str">
        <f>IF(Table13[[#This Row],[Product ID]]="","",VLOOKUP(Table13[[#This Row],[Product ID]],data,2,FALSE))</f>
        <v/>
      </c>
      <c r="C5" s="4" t="str">
        <f>IF(Table13[[#This Row],[Product ID]]="","",VLOOKUP(Table13[[#This Row],[Product ID]],data,3,FALSE))</f>
        <v/>
      </c>
      <c r="D5" s="7" t="str">
        <f>IF(Table13[[#This Row],[Product ID]]="","",VLOOKUP(Table13[[#This Row],[Product ID]],data,4,FALSE))</f>
        <v/>
      </c>
      <c r="E5" s="7"/>
      <c r="F5" s="7" t="str">
        <f>IF(Table13[[#This Row],[Product ID]]="","",PRODUCT(Table13[[#This Row],[Unit ]]*Table13[[#This Row],[Qty]]))</f>
        <v/>
      </c>
      <c r="G5" s="5"/>
    </row>
    <row r="6" spans="1:7" ht="30" customHeight="1" x14ac:dyDescent="0.3">
      <c r="A6" s="4"/>
      <c r="B6" s="4" t="str">
        <f>IF(Table13[[#This Row],[Product ID]]="","",VLOOKUP(Table13[[#This Row],[Product ID]],data,2,FALSE))</f>
        <v/>
      </c>
      <c r="C6" s="4" t="str">
        <f>IF(Table13[[#This Row],[Product ID]]="","",VLOOKUP(Table13[[#This Row],[Product ID]],data,3,FALSE))</f>
        <v/>
      </c>
      <c r="D6" s="7" t="str">
        <f>IF(Table13[[#This Row],[Product ID]]="","",VLOOKUP(Table13[[#This Row],[Product ID]],data,4,FALSE))</f>
        <v/>
      </c>
      <c r="E6" s="7"/>
      <c r="F6" s="7" t="str">
        <f>IF(Table13[[#This Row],[Product ID]]="","",PRODUCT(Table13[[#This Row],[Unit ]]*Table13[[#This Row],[Qty]]))</f>
        <v/>
      </c>
      <c r="G6" s="4"/>
    </row>
    <row r="7" spans="1:7" ht="30" customHeight="1" x14ac:dyDescent="0.3">
      <c r="A7" s="4"/>
      <c r="B7" s="4" t="str">
        <f>IF(Table13[[#This Row],[Product ID]]="","",VLOOKUP(Table13[[#This Row],[Product ID]],data,2,FALSE))</f>
        <v/>
      </c>
      <c r="C7" s="4" t="str">
        <f>IF(Table13[[#This Row],[Product ID]]="","",VLOOKUP(Table13[[#This Row],[Product ID]],data,3,FALSE))</f>
        <v/>
      </c>
      <c r="D7" s="7" t="str">
        <f>IF(Table13[[#This Row],[Product ID]]="","",VLOOKUP(Table13[[#This Row],[Product ID]],data,4,FALSE))</f>
        <v/>
      </c>
      <c r="E7" s="7"/>
      <c r="F7" s="7" t="str">
        <f>IF(Table13[[#This Row],[Product ID]]="","",PRODUCT(Table13[[#This Row],[Unit ]]*Table13[[#This Row],[Qty]]))</f>
        <v/>
      </c>
      <c r="G7" s="4"/>
    </row>
    <row r="8" spans="1:7" ht="30" customHeight="1" x14ac:dyDescent="0.3">
      <c r="A8" s="4"/>
      <c r="B8" s="4" t="str">
        <f>IF(Table13[[#This Row],[Product ID]]="","",VLOOKUP(Table13[[#This Row],[Product ID]],data,2,FALSE))</f>
        <v/>
      </c>
      <c r="C8" s="4" t="str">
        <f>IF(Table13[[#This Row],[Product ID]]="","",VLOOKUP(Table13[[#This Row],[Product ID]],data,3,FALSE))</f>
        <v/>
      </c>
      <c r="D8" s="7" t="str">
        <f>IF(Table13[[#This Row],[Product ID]]="","",VLOOKUP(Table13[[#This Row],[Product ID]],data,4,FALSE))</f>
        <v/>
      </c>
      <c r="E8" s="7"/>
      <c r="F8" s="7" t="str">
        <f>IF(Table13[[#This Row],[Product ID]]="","",PRODUCT(Table13[[#This Row],[Unit ]]*Table13[[#This Row],[Qty]]))</f>
        <v/>
      </c>
      <c r="G8" s="4"/>
    </row>
    <row r="9" spans="1:7" ht="30" customHeight="1" x14ac:dyDescent="0.3">
      <c r="A9" s="4"/>
      <c r="B9" s="4" t="str">
        <f>IF(Table13[[#This Row],[Product ID]]="","",VLOOKUP(Table13[[#This Row],[Product ID]],data,2,FALSE))</f>
        <v/>
      </c>
      <c r="C9" s="4" t="str">
        <f>IF(Table13[[#This Row],[Product ID]]="","",VLOOKUP(Table13[[#This Row],[Product ID]],data,3,FALSE))</f>
        <v/>
      </c>
      <c r="D9" s="7" t="str">
        <f>IF(Table13[[#This Row],[Product ID]]="","",VLOOKUP(Table13[[#This Row],[Product ID]],data,4,FALSE))</f>
        <v/>
      </c>
      <c r="E9" s="7"/>
      <c r="F9" s="7" t="str">
        <f>IF(Table13[[#This Row],[Product ID]]="","",PRODUCT(Table13[[#This Row],[Unit ]]*Table13[[#This Row],[Qty]]))</f>
        <v/>
      </c>
      <c r="G9" s="4"/>
    </row>
    <row r="10" spans="1:7" ht="30" customHeight="1" x14ac:dyDescent="0.3">
      <c r="A10" s="4"/>
      <c r="B10" s="4" t="str">
        <f>IF(Table13[[#This Row],[Product ID]]="","",VLOOKUP(Table13[[#This Row],[Product ID]],data,2,FALSE))</f>
        <v/>
      </c>
      <c r="C10" s="4" t="str">
        <f>IF(Table13[[#This Row],[Product ID]]="","",VLOOKUP(Table13[[#This Row],[Product ID]],data,3,FALSE))</f>
        <v/>
      </c>
      <c r="D10" s="7" t="str">
        <f>IF(Table13[[#This Row],[Product ID]]="","",VLOOKUP(Table13[[#This Row],[Product ID]],data,4,FALSE))</f>
        <v/>
      </c>
      <c r="E10" s="7"/>
      <c r="F10" s="7" t="str">
        <f>IF(Table13[[#This Row],[Product ID]]="","",PRODUCT(Table13[[#This Row],[Unit ]]*Table13[[#This Row],[Qty]]))</f>
        <v/>
      </c>
      <c r="G10" s="4"/>
    </row>
    <row r="11" spans="1:7" ht="30" customHeight="1" x14ac:dyDescent="0.3">
      <c r="A11" s="4"/>
      <c r="B11" s="4" t="str">
        <f>IF(Table13[[#This Row],[Product ID]]="","",VLOOKUP(Table13[[#This Row],[Product ID]],data,2,FALSE))</f>
        <v/>
      </c>
      <c r="C11" s="4" t="str">
        <f>IF(Table13[[#This Row],[Product ID]]="","",VLOOKUP(Table13[[#This Row],[Product ID]],data,3,FALSE))</f>
        <v/>
      </c>
      <c r="D11" s="7" t="str">
        <f>IF(Table13[[#This Row],[Product ID]]="","",VLOOKUP(Table13[[#This Row],[Product ID]],data,4,FALSE))</f>
        <v/>
      </c>
      <c r="E11" s="7"/>
      <c r="F11" s="7" t="str">
        <f>IF(Table13[[#This Row],[Product ID]]="","",PRODUCT(Table13[[#This Row],[Unit ]]*Table13[[#This Row],[Qty]]))</f>
        <v/>
      </c>
      <c r="G11" s="4"/>
    </row>
    <row r="12" spans="1:7" ht="30" customHeight="1" x14ac:dyDescent="0.3">
      <c r="A12" s="4"/>
      <c r="B12" s="4" t="str">
        <f>IF(Table13[[#This Row],[Product ID]]="","",VLOOKUP(Table13[[#This Row],[Product ID]],data,2,FALSE))</f>
        <v/>
      </c>
      <c r="C12" s="4" t="str">
        <f>IF(Table13[[#This Row],[Product ID]]="","",VLOOKUP(Table13[[#This Row],[Product ID]],data,3,FALSE))</f>
        <v/>
      </c>
      <c r="D12" s="7" t="str">
        <f>IF(Table13[[#This Row],[Product ID]]="","",VLOOKUP(Table13[[#This Row],[Product ID]],data,4,FALSE))</f>
        <v/>
      </c>
      <c r="E12" s="7"/>
      <c r="F12" s="7" t="str">
        <f>IF(Table13[[#This Row],[Product ID]]="","",PRODUCT(Table13[[#This Row],[Unit ]]*Table13[[#This Row],[Qty]]))</f>
        <v/>
      </c>
      <c r="G12" s="4"/>
    </row>
    <row r="13" spans="1:7" ht="30" customHeight="1" x14ac:dyDescent="0.3">
      <c r="A13" s="4"/>
      <c r="B13" s="4" t="str">
        <f>IF(Table13[[#This Row],[Product ID]]="","",VLOOKUP(Table13[[#This Row],[Product ID]],data,2,FALSE))</f>
        <v/>
      </c>
      <c r="C13" s="4" t="str">
        <f>IF(Table13[[#This Row],[Product ID]]="","",VLOOKUP(Table13[[#This Row],[Product ID]],data,3,FALSE))</f>
        <v/>
      </c>
      <c r="D13" s="7" t="str">
        <f>IF(Table13[[#This Row],[Product ID]]="","",VLOOKUP(Table13[[#This Row],[Product ID]],data,4,FALSE))</f>
        <v/>
      </c>
      <c r="E13" s="7"/>
      <c r="F13" s="7" t="str">
        <f>IF(Table13[[#This Row],[Product ID]]="","",PRODUCT(Table13[[#This Row],[Unit ]]*Table13[[#This Row],[Qty]]))</f>
        <v/>
      </c>
      <c r="G13" s="4"/>
    </row>
    <row r="14" spans="1:7" ht="30" customHeight="1" x14ac:dyDescent="0.3">
      <c r="A14" s="4"/>
      <c r="B14" s="4" t="str">
        <f>IF(Table13[[#This Row],[Product ID]]="","",VLOOKUP(Table13[[#This Row],[Product ID]],data,2,FALSE))</f>
        <v/>
      </c>
      <c r="C14" s="4" t="str">
        <f>IF(Table13[[#This Row],[Product ID]]="","",VLOOKUP(Table13[[#This Row],[Product ID]],data,3,FALSE))</f>
        <v/>
      </c>
      <c r="D14" s="7" t="str">
        <f>IF(Table13[[#This Row],[Product ID]]="","",VLOOKUP(Table13[[#This Row],[Product ID]],data,4,FALSE))</f>
        <v/>
      </c>
      <c r="E14" s="7"/>
      <c r="F14" s="7" t="str">
        <f>IF(Table13[[#This Row],[Product ID]]="","",PRODUCT(Table13[[#This Row],[Unit ]]*Table13[[#This Row],[Qty]]))</f>
        <v/>
      </c>
      <c r="G14" s="4"/>
    </row>
    <row r="15" spans="1:7" ht="30" customHeight="1" x14ac:dyDescent="0.3">
      <c r="A15" s="4"/>
      <c r="B15" s="4" t="str">
        <f>IF(Table13[[#This Row],[Product ID]]="","",VLOOKUP(Table13[[#This Row],[Product ID]],data,2,FALSE))</f>
        <v/>
      </c>
      <c r="C15" s="4" t="str">
        <f>IF(Table13[[#This Row],[Product ID]]="","",VLOOKUP(Table13[[#This Row],[Product ID]],data,3,FALSE))</f>
        <v/>
      </c>
      <c r="D15" s="7" t="str">
        <f>IF(Table13[[#This Row],[Product ID]]="","",VLOOKUP(Table13[[#This Row],[Product ID]],data,4,FALSE))</f>
        <v/>
      </c>
      <c r="E15" s="7"/>
      <c r="F15" s="7" t="str">
        <f>IF(Table13[[#This Row],[Product ID]]="","",PRODUCT(Table13[[#This Row],[Unit ]]*Table13[[#This Row],[Qty]]))</f>
        <v/>
      </c>
      <c r="G15" s="4"/>
    </row>
    <row r="16" spans="1:7" ht="30" customHeight="1" x14ac:dyDescent="0.3">
      <c r="A16" s="4"/>
      <c r="B16" s="4" t="str">
        <f>IF(Table13[[#This Row],[Product ID]]="","",VLOOKUP(Table13[[#This Row],[Product ID]],data,2,FALSE))</f>
        <v/>
      </c>
      <c r="C16" s="4" t="str">
        <f>IF(Table13[[#This Row],[Product ID]]="","",VLOOKUP(Table13[[#This Row],[Product ID]],data,3,FALSE))</f>
        <v/>
      </c>
      <c r="D16" s="7" t="str">
        <f>IF(Table13[[#This Row],[Product ID]]="","",VLOOKUP(Table13[[#This Row],[Product ID]],data,4,FALSE))</f>
        <v/>
      </c>
      <c r="E16" s="7"/>
      <c r="F16" s="7" t="str">
        <f>IF(Table13[[#This Row],[Product ID]]="","",PRODUCT(Table13[[#This Row],[Unit ]]*Table13[[#This Row],[Qty]]))</f>
        <v/>
      </c>
      <c r="G16" s="4"/>
    </row>
    <row r="17" spans="1:7" ht="30" customHeight="1" x14ac:dyDescent="0.3">
      <c r="A17" s="4"/>
      <c r="B17" s="4" t="str">
        <f>IF(Table13[[#This Row],[Product ID]]="","",VLOOKUP(Table13[[#This Row],[Product ID]],data,2,FALSE))</f>
        <v/>
      </c>
      <c r="C17" s="4" t="str">
        <f>IF(Table13[[#This Row],[Product ID]]="","",VLOOKUP(Table13[[#This Row],[Product ID]],data,3,FALSE))</f>
        <v/>
      </c>
      <c r="D17" s="7" t="str">
        <f>IF(Table13[[#This Row],[Product ID]]="","",VLOOKUP(Table13[[#This Row],[Product ID]],data,4,FALSE))</f>
        <v/>
      </c>
      <c r="E17" s="7"/>
      <c r="F17" s="7" t="str">
        <f>IF(Table13[[#This Row],[Product ID]]="","",PRODUCT(Table13[[#This Row],[Unit ]]*Table13[[#This Row],[Qty]]))</f>
        <v/>
      </c>
      <c r="G17" s="4"/>
    </row>
    <row r="18" spans="1:7" ht="30" customHeight="1" x14ac:dyDescent="0.3">
      <c r="A18" s="4"/>
      <c r="B18" s="4" t="str">
        <f>IF(Table13[[#This Row],[Product ID]]="","",VLOOKUP(Table13[[#This Row],[Product ID]],data,2,FALSE))</f>
        <v/>
      </c>
      <c r="C18" s="4" t="str">
        <f>IF(Table13[[#This Row],[Product ID]]="","",VLOOKUP(Table13[[#This Row],[Product ID]],data,3,FALSE))</f>
        <v/>
      </c>
      <c r="D18" s="7" t="str">
        <f>IF(Table13[[#This Row],[Product ID]]="","",VLOOKUP(Table13[[#This Row],[Product ID]],data,4,FALSE))</f>
        <v/>
      </c>
      <c r="E18" s="7"/>
      <c r="F18" s="7" t="str">
        <f>IF(Table13[[#This Row],[Product ID]]="","",PRODUCT(Table13[[#This Row],[Unit ]]*Table13[[#This Row],[Qty]]))</f>
        <v/>
      </c>
      <c r="G18" s="4"/>
    </row>
    <row r="19" spans="1:7" ht="30" customHeight="1" x14ac:dyDescent="0.3">
      <c r="A19" s="4"/>
      <c r="B19" s="4" t="str">
        <f>IF(Table13[[#This Row],[Product ID]]="","",VLOOKUP(Table13[[#This Row],[Product ID]],data,2,FALSE))</f>
        <v/>
      </c>
      <c r="C19" s="4" t="str">
        <f>IF(Table13[[#This Row],[Product ID]]="","",VLOOKUP(Table13[[#This Row],[Product ID]],data,3,FALSE))</f>
        <v/>
      </c>
      <c r="D19" s="7" t="str">
        <f>IF(Table13[[#This Row],[Product ID]]="","",VLOOKUP(Table13[[#This Row],[Product ID]],data,4,FALSE))</f>
        <v/>
      </c>
      <c r="E19" s="7"/>
      <c r="F19" s="7" t="str">
        <f>IF(Table13[[#This Row],[Product ID]]="","",PRODUCT(Table13[[#This Row],[Unit ]]*Table13[[#This Row],[Qty]]))</f>
        <v/>
      </c>
      <c r="G19" s="4"/>
    </row>
    <row r="20" spans="1:7" ht="30" customHeight="1" x14ac:dyDescent="0.3">
      <c r="A20" s="4"/>
      <c r="B20" s="4" t="str">
        <f>IF(Table13[[#This Row],[Product ID]]="","",VLOOKUP(Table13[[#This Row],[Product ID]],data,2,FALSE))</f>
        <v/>
      </c>
      <c r="C20" s="4" t="str">
        <f>IF(Table13[[#This Row],[Product ID]]="","",VLOOKUP(Table13[[#This Row],[Product ID]],data,3,FALSE))</f>
        <v/>
      </c>
      <c r="D20" s="7" t="str">
        <f>IF(Table13[[#This Row],[Product ID]]="","",VLOOKUP(Table13[[#This Row],[Product ID]],data,4,FALSE))</f>
        <v/>
      </c>
      <c r="E20" s="7"/>
      <c r="F20" s="7" t="str">
        <f>IF(Table13[[#This Row],[Product ID]]="","",PRODUCT(Table13[[#This Row],[Unit ]]*Table13[[#This Row],[Qty]]))</f>
        <v/>
      </c>
      <c r="G20" s="4"/>
    </row>
    <row r="21" spans="1:7" ht="30" customHeight="1" x14ac:dyDescent="0.3">
      <c r="A21" s="4"/>
      <c r="B21" s="4" t="str">
        <f>IF(Table13[[#This Row],[Product ID]]="","",VLOOKUP(Table13[[#This Row],[Product ID]],data,2,FALSE))</f>
        <v/>
      </c>
      <c r="C21" s="4" t="str">
        <f>IF(Table13[[#This Row],[Product ID]]="","",VLOOKUP(Table13[[#This Row],[Product ID]],data,3,FALSE))</f>
        <v/>
      </c>
      <c r="D21" s="7" t="str">
        <f>IF(Table13[[#This Row],[Product ID]]="","",VLOOKUP(Table13[[#This Row],[Product ID]],data,4,FALSE))</f>
        <v/>
      </c>
      <c r="E21" s="7"/>
      <c r="F21" s="7" t="str">
        <f>IF(Table13[[#This Row],[Product ID]]="","",PRODUCT(Table13[[#This Row],[Unit ]]*Table13[[#This Row],[Qty]]))</f>
        <v/>
      </c>
      <c r="G21" s="4"/>
    </row>
    <row r="22" spans="1:7" ht="30" customHeight="1" x14ac:dyDescent="0.3">
      <c r="A22" s="4"/>
      <c r="B22" s="4" t="str">
        <f>IF(Table13[[#This Row],[Product ID]]="","",VLOOKUP(Table13[[#This Row],[Product ID]],data,2,FALSE))</f>
        <v/>
      </c>
      <c r="C22" s="4" t="str">
        <f>IF(Table13[[#This Row],[Product ID]]="","",VLOOKUP(Table13[[#This Row],[Product ID]],data,3,FALSE))</f>
        <v/>
      </c>
      <c r="D22" s="7" t="str">
        <f>IF(Table13[[#This Row],[Product ID]]="","",VLOOKUP(Table13[[#This Row],[Product ID]],data,4,FALSE))</f>
        <v/>
      </c>
      <c r="E22" s="7"/>
      <c r="F22" s="7" t="str">
        <f>IF(Table13[[#This Row],[Product ID]]="","",PRODUCT(Table13[[#This Row],[Unit ]]*Table13[[#This Row],[Qty]]))</f>
        <v/>
      </c>
      <c r="G22" s="4"/>
    </row>
    <row r="23" spans="1:7" ht="30" customHeight="1" x14ac:dyDescent="0.3">
      <c r="A23" s="4"/>
      <c r="B23" s="4" t="str">
        <f>IF(Table13[[#This Row],[Product ID]]="","",VLOOKUP(Table13[[#This Row],[Product ID]],data,2,FALSE))</f>
        <v/>
      </c>
      <c r="C23" s="4" t="str">
        <f>IF(Table13[[#This Row],[Product ID]]="","",VLOOKUP(Table13[[#This Row],[Product ID]],data,3,FALSE))</f>
        <v/>
      </c>
      <c r="D23" s="7" t="str">
        <f>IF(Table13[[#This Row],[Product ID]]="","",VLOOKUP(Table13[[#This Row],[Product ID]],data,4,FALSE))</f>
        <v/>
      </c>
      <c r="E23" s="7"/>
      <c r="F23" s="7" t="str">
        <f>IF(Table13[[#This Row],[Product ID]]="","",PRODUCT(Table13[[#This Row],[Unit ]]*Table13[[#This Row],[Qty]]))</f>
        <v/>
      </c>
      <c r="G23" s="4"/>
    </row>
    <row r="24" spans="1:7" ht="30" customHeight="1" x14ac:dyDescent="0.3">
      <c r="A24" s="4"/>
      <c r="B24" s="4" t="str">
        <f>IF(Table13[[#This Row],[Product ID]]="","",VLOOKUP(Table13[[#This Row],[Product ID]],data,2,FALSE))</f>
        <v/>
      </c>
      <c r="C24" s="4" t="str">
        <f>IF(Table13[[#This Row],[Product ID]]="","",VLOOKUP(Table13[[#This Row],[Product ID]],data,3,FALSE))</f>
        <v/>
      </c>
      <c r="D24" s="7" t="str">
        <f>IF(Table13[[#This Row],[Product ID]]="","",VLOOKUP(Table13[[#This Row],[Product ID]],data,4,FALSE))</f>
        <v/>
      </c>
      <c r="E24" s="7"/>
      <c r="F24" s="7" t="str">
        <f>IF(Table13[[#This Row],[Product ID]]="","",PRODUCT(Table13[[#This Row],[Unit ]]*Table13[[#This Row],[Qty]]))</f>
        <v/>
      </c>
      <c r="G24" s="4"/>
    </row>
    <row r="25" spans="1:7" ht="30" customHeight="1" x14ac:dyDescent="0.3">
      <c r="A25" s="4"/>
      <c r="B25" s="4" t="str">
        <f>IF(Table13[[#This Row],[Product ID]]="","",VLOOKUP(Table13[[#This Row],[Product ID]],data,2,FALSE))</f>
        <v/>
      </c>
      <c r="C25" s="4" t="str">
        <f>IF(Table13[[#This Row],[Product ID]]="","",VLOOKUP(Table13[[#This Row],[Product ID]],data,3,FALSE))</f>
        <v/>
      </c>
      <c r="D25" s="7" t="str">
        <f>IF(Table13[[#This Row],[Product ID]]="","",VLOOKUP(Table13[[#This Row],[Product ID]],data,4,FALSE))</f>
        <v/>
      </c>
      <c r="E25" s="7"/>
      <c r="F25" s="7" t="str">
        <f>IF(Table13[[#This Row],[Product ID]]="","",PRODUCT(Table13[[#This Row],[Unit ]]*Table13[[#This Row],[Qty]]))</f>
        <v/>
      </c>
      <c r="G25" s="4"/>
    </row>
    <row r="26" spans="1:7" ht="30" customHeight="1" x14ac:dyDescent="0.3">
      <c r="A26" s="4"/>
      <c r="B26" s="4" t="str">
        <f>IF(Table13[[#This Row],[Product ID]]="","",VLOOKUP(Table13[[#This Row],[Product ID]],data,2,FALSE))</f>
        <v/>
      </c>
      <c r="C26" s="4" t="str">
        <f>IF(Table13[[#This Row],[Product ID]]="","",VLOOKUP(Table13[[#This Row],[Product ID]],data,3,FALSE))</f>
        <v/>
      </c>
      <c r="D26" s="7" t="str">
        <f>IF(Table13[[#This Row],[Product ID]]="","",VLOOKUP(Table13[[#This Row],[Product ID]],data,4,FALSE))</f>
        <v/>
      </c>
      <c r="E26" s="7"/>
      <c r="F26" s="7" t="str">
        <f>IF(Table13[[#This Row],[Product ID]]="","",PRODUCT(Table13[[#This Row],[Unit ]]*Table13[[#This Row],[Qty]]))</f>
        <v/>
      </c>
      <c r="G26" s="4"/>
    </row>
    <row r="27" spans="1:7" ht="30" customHeight="1" x14ac:dyDescent="0.3">
      <c r="A27" s="4"/>
      <c r="B27" s="4" t="str">
        <f>IF(Table13[[#This Row],[Product ID]]="","",VLOOKUP(Table13[[#This Row],[Product ID]],data,2,FALSE))</f>
        <v/>
      </c>
      <c r="C27" s="4" t="str">
        <f>IF(Table13[[#This Row],[Product ID]]="","",VLOOKUP(Table13[[#This Row],[Product ID]],data,3,FALSE))</f>
        <v/>
      </c>
      <c r="D27" s="7" t="str">
        <f>IF(Table13[[#This Row],[Product ID]]="","",VLOOKUP(Table13[[#This Row],[Product ID]],data,4,FALSE))</f>
        <v/>
      </c>
      <c r="E27" s="7"/>
      <c r="F27" s="7" t="str">
        <f>IF(Table13[[#This Row],[Product ID]]="","",PRODUCT(Table13[[#This Row],[Unit ]]*Table13[[#This Row],[Qty]]))</f>
        <v/>
      </c>
      <c r="G27" s="4"/>
    </row>
    <row r="28" spans="1:7" ht="30" customHeight="1" x14ac:dyDescent="0.3">
      <c r="A28" s="4"/>
      <c r="B28" s="4" t="str">
        <f>IF(Table13[[#This Row],[Product ID]]="","",VLOOKUP(Table13[[#This Row],[Product ID]],data,2,FALSE))</f>
        <v/>
      </c>
      <c r="C28" s="4" t="str">
        <f>IF(Table13[[#This Row],[Product ID]]="","",VLOOKUP(Table13[[#This Row],[Product ID]],data,3,FALSE))</f>
        <v/>
      </c>
      <c r="D28" s="7" t="str">
        <f>IF(Table13[[#This Row],[Product ID]]="","",VLOOKUP(Table13[[#This Row],[Product ID]],data,4,FALSE))</f>
        <v/>
      </c>
      <c r="E28" s="7"/>
      <c r="F28" s="7" t="str">
        <f>IF(Table13[[#This Row],[Product ID]]="","",PRODUCT(Table13[[#This Row],[Unit ]]*Table13[[#This Row],[Qty]]))</f>
        <v/>
      </c>
      <c r="G28" s="4"/>
    </row>
    <row r="29" spans="1:7" ht="30" customHeight="1" x14ac:dyDescent="0.3">
      <c r="A29" s="4"/>
      <c r="B29" s="4" t="str">
        <f>IF(Table13[[#This Row],[Product ID]]="","",VLOOKUP(Table13[[#This Row],[Product ID]],data,2,FALSE))</f>
        <v/>
      </c>
      <c r="C29" s="4" t="str">
        <f>IF(Table13[[#This Row],[Product ID]]="","",VLOOKUP(Table13[[#This Row],[Product ID]],data,3,FALSE))</f>
        <v/>
      </c>
      <c r="D29" s="7" t="str">
        <f>IF(Table13[[#This Row],[Product ID]]="","",VLOOKUP(Table13[[#This Row],[Product ID]],data,4,FALSE))</f>
        <v/>
      </c>
      <c r="E29" s="7"/>
      <c r="F29" s="7" t="str">
        <f>IF(Table13[[#This Row],[Product ID]]="","",PRODUCT(Table13[[#This Row],[Unit ]]*Table13[[#This Row],[Qty]]))</f>
        <v/>
      </c>
      <c r="G29" s="4"/>
    </row>
    <row r="30" spans="1:7" ht="30" customHeight="1" x14ac:dyDescent="0.3">
      <c r="A30" s="4"/>
      <c r="B30" s="4" t="str">
        <f>IF(Table13[[#This Row],[Product ID]]="","",VLOOKUP(Table13[[#This Row],[Product ID]],data,2,FALSE))</f>
        <v/>
      </c>
      <c r="C30" s="4" t="str">
        <f>IF(Table13[[#This Row],[Product ID]]="","",VLOOKUP(Table13[[#This Row],[Product ID]],data,3,FALSE))</f>
        <v/>
      </c>
      <c r="D30" s="7" t="str">
        <f>IF(Table13[[#This Row],[Product ID]]="","",VLOOKUP(Table13[[#This Row],[Product ID]],data,4,FALSE))</f>
        <v/>
      </c>
      <c r="E30" s="7"/>
      <c r="F30" s="7" t="str">
        <f>IF(Table13[[#This Row],[Product ID]]="","",PRODUCT(Table13[[#This Row],[Unit ]]*Table13[[#This Row],[Qty]]))</f>
        <v/>
      </c>
      <c r="G30" s="4"/>
    </row>
    <row r="31" spans="1:7" ht="30" customHeight="1" x14ac:dyDescent="0.3">
      <c r="A31" s="4"/>
      <c r="B31" s="4" t="str">
        <f>IF(Table13[[#This Row],[Product ID]]="","",VLOOKUP(Table13[[#This Row],[Product ID]],data,2,FALSE))</f>
        <v/>
      </c>
      <c r="C31" s="4" t="str">
        <f>IF(Table13[[#This Row],[Product ID]]="","",VLOOKUP(Table13[[#This Row],[Product ID]],data,3,FALSE))</f>
        <v/>
      </c>
      <c r="D31" s="7" t="str">
        <f>IF(Table13[[#This Row],[Product ID]]="","",VLOOKUP(Table13[[#This Row],[Product ID]],data,4,FALSE))</f>
        <v/>
      </c>
      <c r="E31" s="7"/>
      <c r="F31" s="7" t="str">
        <f>IF(Table13[[#This Row],[Product ID]]="","",PRODUCT(Table13[[#This Row],[Unit ]]*Table13[[#This Row],[Qty]]))</f>
        <v/>
      </c>
      <c r="G31" s="4"/>
    </row>
    <row r="32" spans="1:7" ht="30" customHeight="1" x14ac:dyDescent="0.3">
      <c r="A32" s="4"/>
      <c r="B32" s="4" t="str">
        <f>IF(Table13[[#This Row],[Product ID]]="","",VLOOKUP(Table13[[#This Row],[Product ID]],data,2,FALSE))</f>
        <v/>
      </c>
      <c r="C32" s="4" t="str">
        <f>IF(Table13[[#This Row],[Product ID]]="","",VLOOKUP(Table13[[#This Row],[Product ID]],data,3,FALSE))</f>
        <v/>
      </c>
      <c r="D32" s="7" t="str">
        <f>IF(Table13[[#This Row],[Product ID]]="","",VLOOKUP(Table13[[#This Row],[Product ID]],data,4,FALSE))</f>
        <v/>
      </c>
      <c r="E32" s="7"/>
      <c r="F32" s="7" t="str">
        <f>IF(Table13[[#This Row],[Product ID]]="","",PRODUCT(Table13[[#This Row],[Unit ]]*Table13[[#This Row],[Qty]]))</f>
        <v/>
      </c>
      <c r="G32" s="4"/>
    </row>
    <row r="33" spans="1:7" ht="30" customHeight="1" x14ac:dyDescent="0.3">
      <c r="A33" s="4"/>
      <c r="B33" s="4" t="str">
        <f>IF(Table13[[#This Row],[Product ID]]="","",VLOOKUP(Table13[[#This Row],[Product ID]],data,2,FALSE))</f>
        <v/>
      </c>
      <c r="C33" s="4" t="str">
        <f>IF(Table13[[#This Row],[Product ID]]="","",VLOOKUP(Table13[[#This Row],[Product ID]],data,3,FALSE))</f>
        <v/>
      </c>
      <c r="D33" s="7" t="str">
        <f>IF(Table13[[#This Row],[Product ID]]="","",VLOOKUP(Table13[[#This Row],[Product ID]],data,4,FALSE))</f>
        <v/>
      </c>
      <c r="E33" s="7"/>
      <c r="F33" s="7" t="str">
        <f>IF(Table13[[#This Row],[Product ID]]="","",PRODUCT(Table13[[#This Row],[Unit ]]*Table13[[#This Row],[Qty]]))</f>
        <v/>
      </c>
      <c r="G33" s="4"/>
    </row>
    <row r="34" spans="1:7" ht="30" customHeight="1" x14ac:dyDescent="0.3">
      <c r="A34" s="4"/>
      <c r="B34" s="4" t="str">
        <f>IF(Table13[[#This Row],[Product ID]]="","",VLOOKUP(Table13[[#This Row],[Product ID]],data,2,FALSE))</f>
        <v/>
      </c>
      <c r="C34" s="4" t="str">
        <f>IF(Table13[[#This Row],[Product ID]]="","",VLOOKUP(Table13[[#This Row],[Product ID]],data,3,FALSE))</f>
        <v/>
      </c>
      <c r="D34" s="7" t="str">
        <f>IF(Table13[[#This Row],[Product ID]]="","",VLOOKUP(Table13[[#This Row],[Product ID]],data,4,FALSE))</f>
        <v/>
      </c>
      <c r="E34" s="7"/>
      <c r="F34" s="7" t="str">
        <f>IF(Table13[[#This Row],[Product ID]]="","",PRODUCT(Table13[[#This Row],[Unit ]]*Table13[[#This Row],[Qty]]))</f>
        <v/>
      </c>
      <c r="G34" s="4"/>
    </row>
    <row r="35" spans="1:7" ht="30" customHeight="1" x14ac:dyDescent="0.3">
      <c r="A35" s="4"/>
      <c r="B35" s="4" t="str">
        <f>IF(Table13[[#This Row],[Product ID]]="","",VLOOKUP(Table13[[#This Row],[Product ID]],data,2,FALSE))</f>
        <v/>
      </c>
      <c r="C35" s="4" t="str">
        <f>IF(Table13[[#This Row],[Product ID]]="","",VLOOKUP(Table13[[#This Row],[Product ID]],data,3,FALSE))</f>
        <v/>
      </c>
      <c r="D35" s="7" t="str">
        <f>IF(Table13[[#This Row],[Product ID]]="","",VLOOKUP(Table13[[#This Row],[Product ID]],data,4,FALSE))</f>
        <v/>
      </c>
      <c r="E35" s="7"/>
      <c r="F35" s="7" t="str">
        <f>IF(Table13[[#This Row],[Product ID]]="","",PRODUCT(Table13[[#This Row],[Unit ]]*Table13[[#This Row],[Qty]]))</f>
        <v/>
      </c>
      <c r="G35" s="4"/>
    </row>
    <row r="36" spans="1:7" ht="30" customHeight="1" x14ac:dyDescent="0.3">
      <c r="A36" s="4"/>
      <c r="B36" s="4" t="str">
        <f>IF(Table13[[#This Row],[Product ID]]="","",VLOOKUP(Table13[[#This Row],[Product ID]],data,2,FALSE))</f>
        <v/>
      </c>
      <c r="C36" s="4" t="str">
        <f>IF(Table13[[#This Row],[Product ID]]="","",VLOOKUP(Table13[[#This Row],[Product ID]],data,3,FALSE))</f>
        <v/>
      </c>
      <c r="D36" s="7" t="str">
        <f>IF(Table13[[#This Row],[Product ID]]="","",VLOOKUP(Table13[[#This Row],[Product ID]],data,4,FALSE))</f>
        <v/>
      </c>
      <c r="E36" s="7"/>
      <c r="F36" s="7" t="str">
        <f>IF(Table13[[#This Row],[Product ID]]="","",PRODUCT(Table13[[#This Row],[Unit ]]*Table13[[#This Row],[Qty]]))</f>
        <v/>
      </c>
      <c r="G36" s="4"/>
    </row>
    <row r="37" spans="1:7" ht="30" customHeight="1" x14ac:dyDescent="0.3">
      <c r="A37" s="4"/>
      <c r="B37" s="4" t="str">
        <f>IF(Table13[[#This Row],[Product ID]]="","",VLOOKUP(Table13[[#This Row],[Product ID]],data,2,FALSE))</f>
        <v/>
      </c>
      <c r="C37" s="4" t="str">
        <f>IF(Table13[[#This Row],[Product ID]]="","",VLOOKUP(Table13[[#This Row],[Product ID]],data,3,FALSE))</f>
        <v/>
      </c>
      <c r="D37" s="7" t="str">
        <f>IF(Table13[[#This Row],[Product ID]]="","",VLOOKUP(Table13[[#This Row],[Product ID]],data,4,FALSE))</f>
        <v/>
      </c>
      <c r="E37" s="7"/>
      <c r="F37" s="7" t="str">
        <f>IF(Table13[[#This Row],[Product ID]]="","",PRODUCT(Table13[[#This Row],[Unit ]]*Table13[[#This Row],[Qty]]))</f>
        <v/>
      </c>
      <c r="G37" s="4"/>
    </row>
    <row r="38" spans="1:7" ht="30" customHeight="1" x14ac:dyDescent="0.3">
      <c r="A38" s="4"/>
      <c r="B38" s="4" t="str">
        <f>IF(Table13[[#This Row],[Product ID]]="","",VLOOKUP(Table13[[#This Row],[Product ID]],data,2,FALSE))</f>
        <v/>
      </c>
      <c r="C38" s="4" t="str">
        <f>IF(Table13[[#This Row],[Product ID]]="","",VLOOKUP(Table13[[#This Row],[Product ID]],data,3,FALSE))</f>
        <v/>
      </c>
      <c r="D38" s="7" t="str">
        <f>IF(Table13[[#This Row],[Product ID]]="","",VLOOKUP(Table13[[#This Row],[Product ID]],data,4,FALSE))</f>
        <v/>
      </c>
      <c r="E38" s="7"/>
      <c r="F38" s="7" t="str">
        <f>IF(Table13[[#This Row],[Product ID]]="","",PRODUCT(Table13[[#This Row],[Unit ]]*Table13[[#This Row],[Qty]]))</f>
        <v/>
      </c>
      <c r="G38" s="4"/>
    </row>
    <row r="39" spans="1:7" ht="30" customHeight="1" x14ac:dyDescent="0.3">
      <c r="A39" s="4"/>
      <c r="B39" s="4" t="str">
        <f>IF(Table13[[#This Row],[Product ID]]="","",VLOOKUP(Table13[[#This Row],[Product ID]],data,2,FALSE))</f>
        <v/>
      </c>
      <c r="C39" s="4" t="str">
        <f>IF(Table13[[#This Row],[Product ID]]="","",VLOOKUP(Table13[[#This Row],[Product ID]],data,3,FALSE))</f>
        <v/>
      </c>
      <c r="D39" s="7" t="str">
        <f>IF(Table13[[#This Row],[Product ID]]="","",VLOOKUP(Table13[[#This Row],[Product ID]],data,4,FALSE))</f>
        <v/>
      </c>
      <c r="E39" s="7"/>
      <c r="F39" s="7" t="str">
        <f>IF(Table13[[#This Row],[Product ID]]="","",PRODUCT(Table13[[#This Row],[Unit ]]*Table13[[#This Row],[Qty]]))</f>
        <v/>
      </c>
      <c r="G39" s="4"/>
    </row>
    <row r="40" spans="1:7" ht="30" customHeight="1" x14ac:dyDescent="0.3">
      <c r="A40" s="4"/>
      <c r="B40" s="4" t="str">
        <f>IF(Table13[[#This Row],[Product ID]]="","",VLOOKUP(Table13[[#This Row],[Product ID]],data,2,FALSE))</f>
        <v/>
      </c>
      <c r="C40" s="4" t="str">
        <f>IF(Table13[[#This Row],[Product ID]]="","",VLOOKUP(Table13[[#This Row],[Product ID]],data,3,FALSE))</f>
        <v/>
      </c>
      <c r="D40" s="7" t="str">
        <f>IF(Table13[[#This Row],[Product ID]]="","",VLOOKUP(Table13[[#This Row],[Product ID]],data,4,FALSE))</f>
        <v/>
      </c>
      <c r="E40" s="7"/>
      <c r="F40" s="7" t="str">
        <f>IF(Table13[[#This Row],[Product ID]]="","",PRODUCT(Table13[[#This Row],[Unit ]]*Table13[[#This Row],[Qty]]))</f>
        <v/>
      </c>
      <c r="G40" s="4"/>
    </row>
    <row r="41" spans="1:7" ht="30" customHeight="1" x14ac:dyDescent="0.3">
      <c r="A41" s="4"/>
      <c r="B41" s="4" t="str">
        <f>IF(Table13[[#This Row],[Product ID]]="","",VLOOKUP(Table13[[#This Row],[Product ID]],data,2,FALSE))</f>
        <v/>
      </c>
      <c r="C41" s="4" t="str">
        <f>IF(Table13[[#This Row],[Product ID]]="","",VLOOKUP(Table13[[#This Row],[Product ID]],data,3,FALSE))</f>
        <v/>
      </c>
      <c r="D41" s="7" t="str">
        <f>IF(Table13[[#This Row],[Product ID]]="","",VLOOKUP(Table13[[#This Row],[Product ID]],data,4,FALSE))</f>
        <v/>
      </c>
      <c r="E41" s="7"/>
      <c r="F41" s="7" t="str">
        <f>IF(Table13[[#This Row],[Product ID]]="","",PRODUCT(Table13[[#This Row],[Unit ]]*Table13[[#This Row],[Qty]]))</f>
        <v/>
      </c>
      <c r="G41" s="4"/>
    </row>
    <row r="42" spans="1:7" ht="30" customHeight="1" x14ac:dyDescent="0.3">
      <c r="A42" s="4"/>
      <c r="B42" s="4" t="str">
        <f>IF(Table13[[#This Row],[Product ID]]="","",VLOOKUP(Table13[[#This Row],[Product ID]],data,2,FALSE))</f>
        <v/>
      </c>
      <c r="C42" s="4" t="str">
        <f>IF(Table13[[#This Row],[Product ID]]="","",VLOOKUP(Table13[[#This Row],[Product ID]],data,3,FALSE))</f>
        <v/>
      </c>
      <c r="D42" s="7" t="str">
        <f>IF(Table13[[#This Row],[Product ID]]="","",VLOOKUP(Table13[[#This Row],[Product ID]],data,4,FALSE))</f>
        <v/>
      </c>
      <c r="E42" s="7"/>
      <c r="F42" s="7" t="str">
        <f>IF(Table13[[#This Row],[Product ID]]="","",PRODUCT(Table13[[#This Row],[Unit ]]*Table13[[#This Row],[Qty]]))</f>
        <v/>
      </c>
      <c r="G42" s="4"/>
    </row>
    <row r="43" spans="1:7" ht="30" customHeight="1" x14ac:dyDescent="0.3">
      <c r="A43" s="4"/>
      <c r="B43" s="4" t="str">
        <f>IF(Table13[[#This Row],[Product ID]]="","",VLOOKUP(Table13[[#This Row],[Product ID]],data,2,FALSE))</f>
        <v/>
      </c>
      <c r="C43" s="4" t="str">
        <f>IF(Table13[[#This Row],[Product ID]]="","",VLOOKUP(Table13[[#This Row],[Product ID]],data,3,FALSE))</f>
        <v/>
      </c>
      <c r="D43" s="7" t="str">
        <f>IF(Table13[[#This Row],[Product ID]]="","",VLOOKUP(Table13[[#This Row],[Product ID]],data,4,FALSE))</f>
        <v/>
      </c>
      <c r="E43" s="7"/>
      <c r="F43" s="7" t="str">
        <f>IF(Table13[[#This Row],[Product ID]]="","",PRODUCT(Table13[[#This Row],[Unit ]]*Table13[[#This Row],[Qty]]))</f>
        <v/>
      </c>
      <c r="G43" s="4"/>
    </row>
    <row r="44" spans="1:7" ht="30" customHeight="1" x14ac:dyDescent="0.3">
      <c r="A44" s="4"/>
      <c r="B44" s="4" t="str">
        <f>IF(Table13[[#This Row],[Product ID]]="","",VLOOKUP(Table13[[#This Row],[Product ID]],data,2,FALSE))</f>
        <v/>
      </c>
      <c r="C44" s="4" t="str">
        <f>IF(Table13[[#This Row],[Product ID]]="","",VLOOKUP(Table13[[#This Row],[Product ID]],data,3,FALSE))</f>
        <v/>
      </c>
      <c r="D44" s="7" t="str">
        <f>IF(Table13[[#This Row],[Product ID]]="","",VLOOKUP(Table13[[#This Row],[Product ID]],data,4,FALSE))</f>
        <v/>
      </c>
      <c r="E44" s="7"/>
      <c r="F44" s="7" t="str">
        <f>IF(Table13[[#This Row],[Product ID]]="","",PRODUCT(Table13[[#This Row],[Unit ]]*Table13[[#This Row],[Qty]]))</f>
        <v/>
      </c>
      <c r="G44" s="4"/>
    </row>
    <row r="45" spans="1:7" ht="30" customHeight="1" x14ac:dyDescent="0.3">
      <c r="A45" s="4"/>
      <c r="B45" s="4" t="str">
        <f>IF(Table13[[#This Row],[Product ID]]="","",VLOOKUP(Table13[[#This Row],[Product ID]],data,2,FALSE))</f>
        <v/>
      </c>
      <c r="C45" s="4" t="str">
        <f>IF(Table13[[#This Row],[Product ID]]="","",VLOOKUP(Table13[[#This Row],[Product ID]],data,3,FALSE))</f>
        <v/>
      </c>
      <c r="D45" s="7" t="str">
        <f>IF(Table13[[#This Row],[Product ID]]="","",VLOOKUP(Table13[[#This Row],[Product ID]],data,4,FALSE))</f>
        <v/>
      </c>
      <c r="E45" s="7"/>
      <c r="F45" s="7" t="str">
        <f>IF(Table13[[#This Row],[Product ID]]="","",PRODUCT(Table13[[#This Row],[Unit ]]*Table13[[#This Row],[Qty]]))</f>
        <v/>
      </c>
      <c r="G45" s="4"/>
    </row>
    <row r="46" spans="1:7" ht="30" customHeight="1" x14ac:dyDescent="0.3">
      <c r="A46" s="4"/>
      <c r="B46" s="4" t="str">
        <f>IF(Table13[[#This Row],[Product ID]]="","",VLOOKUP(Table13[[#This Row],[Product ID]],data,2,FALSE))</f>
        <v/>
      </c>
      <c r="C46" s="4" t="str">
        <f>IF(Table13[[#This Row],[Product ID]]="","",VLOOKUP(Table13[[#This Row],[Product ID]],data,3,FALSE))</f>
        <v/>
      </c>
      <c r="D46" s="7" t="str">
        <f>IF(Table13[[#This Row],[Product ID]]="","",VLOOKUP(Table13[[#This Row],[Product ID]],data,4,FALSE))</f>
        <v/>
      </c>
      <c r="E46" s="7"/>
      <c r="F46" s="7" t="str">
        <f>IF(Table13[[#This Row],[Product ID]]="","",PRODUCT(Table13[[#This Row],[Unit ]]*Table13[[#This Row],[Qty]]))</f>
        <v/>
      </c>
      <c r="G46" s="4"/>
    </row>
    <row r="47" spans="1:7" ht="30" customHeight="1" x14ac:dyDescent="0.3">
      <c r="A47" s="4"/>
      <c r="B47" s="4" t="str">
        <f>IF(Table13[[#This Row],[Product ID]]="","",VLOOKUP(Table13[[#This Row],[Product ID]],data,2,FALSE))</f>
        <v/>
      </c>
      <c r="C47" s="4" t="str">
        <f>IF(Table13[[#This Row],[Product ID]]="","",VLOOKUP(Table13[[#This Row],[Product ID]],data,3,FALSE))</f>
        <v/>
      </c>
      <c r="D47" s="7" t="str">
        <f>IF(Table13[[#This Row],[Product ID]]="","",VLOOKUP(Table13[[#This Row],[Product ID]],data,4,FALSE))</f>
        <v/>
      </c>
      <c r="E47" s="7"/>
      <c r="F47" s="7" t="str">
        <f>IF(Table13[[#This Row],[Product ID]]="","",PRODUCT(Table13[[#This Row],[Unit ]]*Table13[[#This Row],[Qty]]))</f>
        <v/>
      </c>
      <c r="G47" s="4"/>
    </row>
    <row r="48" spans="1:7" ht="30" customHeight="1" x14ac:dyDescent="0.3">
      <c r="A48" s="4"/>
      <c r="B48" s="4" t="str">
        <f>IF(Table13[[#This Row],[Product ID]]="","",VLOOKUP(Table13[[#This Row],[Product ID]],data,2,FALSE))</f>
        <v/>
      </c>
      <c r="C48" s="4" t="str">
        <f>IF(Table13[[#This Row],[Product ID]]="","",VLOOKUP(Table13[[#This Row],[Product ID]],data,3,FALSE))</f>
        <v/>
      </c>
      <c r="D48" s="7" t="str">
        <f>IF(Table13[[#This Row],[Product ID]]="","",VLOOKUP(Table13[[#This Row],[Product ID]],data,4,FALSE))</f>
        <v/>
      </c>
      <c r="E48" s="7"/>
      <c r="F48" s="7" t="str">
        <f>IF(Table13[[#This Row],[Product ID]]="","",PRODUCT(Table13[[#This Row],[Unit ]]*Table13[[#This Row],[Qty]]))</f>
        <v/>
      </c>
      <c r="G48" s="4"/>
    </row>
    <row r="49" spans="1:7" ht="30" customHeight="1" x14ac:dyDescent="0.3">
      <c r="A49" s="4"/>
      <c r="B49" s="4" t="str">
        <f>IF(Table13[[#This Row],[Product ID]]="","",VLOOKUP(Table13[[#This Row],[Product ID]],data,2,FALSE))</f>
        <v/>
      </c>
      <c r="C49" s="4" t="str">
        <f>IF(Table13[[#This Row],[Product ID]]="","",VLOOKUP(Table13[[#This Row],[Product ID]],data,3,FALSE))</f>
        <v/>
      </c>
      <c r="D49" s="7" t="str">
        <f>IF(Table13[[#This Row],[Product ID]]="","",VLOOKUP(Table13[[#This Row],[Product ID]],data,4,FALSE))</f>
        <v/>
      </c>
      <c r="E49" s="7"/>
      <c r="F49" s="7" t="str">
        <f>IF(Table13[[#This Row],[Product ID]]="","",PRODUCT(Table13[[#This Row],[Unit ]]*Table13[[#This Row],[Qty]]))</f>
        <v/>
      </c>
      <c r="G49" s="4"/>
    </row>
    <row r="50" spans="1:7" ht="30" customHeight="1" x14ac:dyDescent="0.3">
      <c r="A50" s="4"/>
      <c r="B50" s="4" t="str">
        <f>IF(Table13[[#This Row],[Product ID]]="","",VLOOKUP(Table13[[#This Row],[Product ID]],data,2,FALSE))</f>
        <v/>
      </c>
      <c r="C50" s="4" t="str">
        <f>IF(Table13[[#This Row],[Product ID]]="","",VLOOKUP(Table13[[#This Row],[Product ID]],data,3,FALSE))</f>
        <v/>
      </c>
      <c r="D50" s="7" t="str">
        <f>IF(Table13[[#This Row],[Product ID]]="","",VLOOKUP(Table13[[#This Row],[Product ID]],data,4,FALSE))</f>
        <v/>
      </c>
      <c r="E50" s="7"/>
      <c r="F50" s="7" t="str">
        <f>IF(Table13[[#This Row],[Product ID]]="","",PRODUCT(Table13[[#This Row],[Unit ]]*Table13[[#This Row],[Qty]]))</f>
        <v/>
      </c>
      <c r="G50" s="4"/>
    </row>
    <row r="51" spans="1:7" ht="30" customHeight="1" x14ac:dyDescent="0.3">
      <c r="A51" s="4"/>
      <c r="B51" s="4" t="str">
        <f>IF(Table13[[#This Row],[Product ID]]="","",VLOOKUP(Table13[[#This Row],[Product ID]],data,2,FALSE))</f>
        <v/>
      </c>
      <c r="C51" s="4" t="str">
        <f>IF(Table13[[#This Row],[Product ID]]="","",VLOOKUP(Table13[[#This Row],[Product ID]],data,3,FALSE))</f>
        <v/>
      </c>
      <c r="D51" s="7" t="str">
        <f>IF(Table13[[#This Row],[Product ID]]="","",VLOOKUP(Table13[[#This Row],[Product ID]],data,4,FALSE))</f>
        <v/>
      </c>
      <c r="E51" s="7"/>
      <c r="F51" s="7" t="str">
        <f>IF(Table13[[#This Row],[Product ID]]="","",PRODUCT(Table13[[#This Row],[Unit ]]*Table13[[#This Row],[Qty]]))</f>
        <v/>
      </c>
      <c r="G51" s="4"/>
    </row>
    <row r="52" spans="1:7" ht="30" customHeight="1" x14ac:dyDescent="0.3">
      <c r="A52" s="4"/>
      <c r="B52" s="4" t="str">
        <f>IF(Table13[[#This Row],[Product ID]]="","",VLOOKUP(Table13[[#This Row],[Product ID]],data,2,FALSE))</f>
        <v/>
      </c>
      <c r="C52" s="4" t="str">
        <f>IF(Table13[[#This Row],[Product ID]]="","",VLOOKUP(Table13[[#This Row],[Product ID]],data,3,FALSE))</f>
        <v/>
      </c>
      <c r="D52" s="7" t="str">
        <f>IF(Table13[[#This Row],[Product ID]]="","",VLOOKUP(Table13[[#This Row],[Product ID]],data,4,FALSE))</f>
        <v/>
      </c>
      <c r="E52" s="7"/>
      <c r="F52" s="7" t="str">
        <f>IF(Table13[[#This Row],[Product ID]]="","",PRODUCT(Table13[[#This Row],[Unit ]]*Table13[[#This Row],[Qty]]))</f>
        <v/>
      </c>
      <c r="G52" s="4"/>
    </row>
    <row r="53" spans="1:7" ht="30" customHeight="1" x14ac:dyDescent="0.3">
      <c r="A53" s="4"/>
      <c r="B53" s="4" t="str">
        <f>IF(Table13[[#This Row],[Product ID]]="","",VLOOKUP(Table13[[#This Row],[Product ID]],data,2,FALSE))</f>
        <v/>
      </c>
      <c r="C53" s="4" t="str">
        <f>IF(Table13[[#This Row],[Product ID]]="","",VLOOKUP(Table13[[#This Row],[Product ID]],data,3,FALSE))</f>
        <v/>
      </c>
      <c r="D53" s="7" t="str">
        <f>IF(Table13[[#This Row],[Product ID]]="","",VLOOKUP(Table13[[#This Row],[Product ID]],data,4,FALSE))</f>
        <v/>
      </c>
      <c r="E53" s="7"/>
      <c r="F53" s="7" t="str">
        <f>IF(Table13[[#This Row],[Product ID]]="","",PRODUCT(Table13[[#This Row],[Unit ]]*Table13[[#This Row],[Qty]]))</f>
        <v/>
      </c>
      <c r="G53" s="4"/>
    </row>
    <row r="54" spans="1:7" ht="30" customHeight="1" x14ac:dyDescent="0.3">
      <c r="A54" s="4"/>
      <c r="B54" s="4" t="str">
        <f>IF(Table13[[#This Row],[Product ID]]="","",VLOOKUP(Table13[[#This Row],[Product ID]],data,2,FALSE))</f>
        <v/>
      </c>
      <c r="C54" s="4" t="str">
        <f>IF(Table13[[#This Row],[Product ID]]="","",VLOOKUP(Table13[[#This Row],[Product ID]],data,3,FALSE))</f>
        <v/>
      </c>
      <c r="D54" s="7" t="str">
        <f>IF(Table13[[#This Row],[Product ID]]="","",VLOOKUP(Table13[[#This Row],[Product ID]],data,4,FALSE))</f>
        <v/>
      </c>
      <c r="E54" s="7"/>
      <c r="F54" s="7" t="str">
        <f>IF(Table13[[#This Row],[Product ID]]="","",PRODUCT(Table13[[#This Row],[Unit ]]*Table13[[#This Row],[Qty]]))</f>
        <v/>
      </c>
      <c r="G54" s="4"/>
    </row>
    <row r="55" spans="1:7" ht="30" customHeight="1" x14ac:dyDescent="0.3">
      <c r="A55" s="4"/>
      <c r="B55" s="4" t="str">
        <f>IF(Table13[[#This Row],[Product ID]]="","",VLOOKUP(Table13[[#This Row],[Product ID]],data,2,FALSE))</f>
        <v/>
      </c>
      <c r="C55" s="4" t="str">
        <f>IF(Table13[[#This Row],[Product ID]]="","",VLOOKUP(Table13[[#This Row],[Product ID]],data,3,FALSE))</f>
        <v/>
      </c>
      <c r="D55" s="7" t="str">
        <f>IF(Table13[[#This Row],[Product ID]]="","",VLOOKUP(Table13[[#This Row],[Product ID]],data,4,FALSE))</f>
        <v/>
      </c>
      <c r="E55" s="7"/>
      <c r="F55" s="7" t="str">
        <f>IF(Table13[[#This Row],[Product ID]]="","",PRODUCT(Table13[[#This Row],[Unit ]]*Table13[[#This Row],[Qty]]))</f>
        <v/>
      </c>
      <c r="G55" s="4"/>
    </row>
    <row r="56" spans="1:7" ht="30" customHeight="1" x14ac:dyDescent="0.3">
      <c r="A56" s="4"/>
      <c r="B56" s="4" t="str">
        <f>IF(Table13[[#This Row],[Product ID]]="","",VLOOKUP(Table13[[#This Row],[Product ID]],data,2,FALSE))</f>
        <v/>
      </c>
      <c r="C56" s="4" t="str">
        <f>IF(Table13[[#This Row],[Product ID]]="","",VLOOKUP(Table13[[#This Row],[Product ID]],data,3,FALSE))</f>
        <v/>
      </c>
      <c r="D56" s="7" t="str">
        <f>IF(Table13[[#This Row],[Product ID]]="","",VLOOKUP(Table13[[#This Row],[Product ID]],data,4,FALSE))</f>
        <v/>
      </c>
      <c r="E56" s="7"/>
      <c r="F56" s="7" t="str">
        <f>IF(Table13[[#This Row],[Product ID]]="","",PRODUCT(Table13[[#This Row],[Unit ]]*Table13[[#This Row],[Qty]]))</f>
        <v/>
      </c>
      <c r="G56" s="4"/>
    </row>
    <row r="57" spans="1:7" ht="30" customHeight="1" x14ac:dyDescent="0.3">
      <c r="A57" s="4"/>
      <c r="B57" s="4" t="str">
        <f>IF(Table13[[#This Row],[Product ID]]="","",VLOOKUP(Table13[[#This Row],[Product ID]],data,2,FALSE))</f>
        <v/>
      </c>
      <c r="C57" s="4" t="str">
        <f>IF(Table13[[#This Row],[Product ID]]="","",VLOOKUP(Table13[[#This Row],[Product ID]],data,3,FALSE))</f>
        <v/>
      </c>
      <c r="D57" s="7" t="str">
        <f>IF(Table13[[#This Row],[Product ID]]="","",VLOOKUP(Table13[[#This Row],[Product ID]],data,4,FALSE))</f>
        <v/>
      </c>
      <c r="E57" s="7"/>
      <c r="F57" s="7" t="str">
        <f>IF(Table13[[#This Row],[Product ID]]="","",PRODUCT(Table13[[#This Row],[Unit ]]*Table13[[#This Row],[Qty]]))</f>
        <v/>
      </c>
      <c r="G57" s="4"/>
    </row>
    <row r="58" spans="1:7" ht="30" customHeight="1" x14ac:dyDescent="0.3">
      <c r="A58" s="4"/>
      <c r="B58" s="4" t="str">
        <f>IF(Table13[[#This Row],[Product ID]]="","",VLOOKUP(Table13[[#This Row],[Product ID]],data,2,FALSE))</f>
        <v/>
      </c>
      <c r="C58" s="4" t="str">
        <f>IF(Table13[[#This Row],[Product ID]]="","",VLOOKUP(Table13[[#This Row],[Product ID]],data,3,FALSE))</f>
        <v/>
      </c>
      <c r="D58" s="7" t="str">
        <f>IF(Table13[[#This Row],[Product ID]]="","",VLOOKUP(Table13[[#This Row],[Product ID]],data,4,FALSE))</f>
        <v/>
      </c>
      <c r="E58" s="7"/>
      <c r="F58" s="7" t="str">
        <f>IF(Table13[[#This Row],[Product ID]]="","",PRODUCT(Table13[[#This Row],[Unit ]]*Table13[[#This Row],[Qty]]))</f>
        <v/>
      </c>
      <c r="G58" s="4"/>
    </row>
    <row r="59" spans="1:7" ht="30" customHeight="1" x14ac:dyDescent="0.3">
      <c r="A59" s="4"/>
      <c r="B59" s="4" t="str">
        <f>IF(Table13[[#This Row],[Product ID]]="","",VLOOKUP(Table13[[#This Row],[Product ID]],data,2,FALSE))</f>
        <v/>
      </c>
      <c r="C59" s="4" t="str">
        <f>IF(Table13[[#This Row],[Product ID]]="","",VLOOKUP(Table13[[#This Row],[Product ID]],data,3,FALSE))</f>
        <v/>
      </c>
      <c r="D59" s="7" t="str">
        <f>IF(Table13[[#This Row],[Product ID]]="","",VLOOKUP(Table13[[#This Row],[Product ID]],data,4,FALSE))</f>
        <v/>
      </c>
      <c r="E59" s="7"/>
      <c r="F59" s="7" t="str">
        <f>IF(Table13[[#This Row],[Product ID]]="","",PRODUCT(Table13[[#This Row],[Unit ]]*Table13[[#This Row],[Qty]]))</f>
        <v/>
      </c>
      <c r="G59" s="4"/>
    </row>
    <row r="60" spans="1:7" ht="30" customHeight="1" x14ac:dyDescent="0.3">
      <c r="A60" s="4"/>
      <c r="B60" s="4" t="str">
        <f>IF(Table13[[#This Row],[Product ID]]="","",VLOOKUP(Table13[[#This Row],[Product ID]],data,2,FALSE))</f>
        <v/>
      </c>
      <c r="C60" s="4" t="str">
        <f>IF(Table13[[#This Row],[Product ID]]="","",VLOOKUP(Table13[[#This Row],[Product ID]],data,3,FALSE))</f>
        <v/>
      </c>
      <c r="D60" s="7" t="str">
        <f>IF(Table13[[#This Row],[Product ID]]="","",VLOOKUP(Table13[[#This Row],[Product ID]],data,4,FALSE))</f>
        <v/>
      </c>
      <c r="E60" s="7"/>
      <c r="F60" s="7" t="str">
        <f>IF(Table13[[#This Row],[Product ID]]="","",PRODUCT(Table13[[#This Row],[Unit ]]*Table13[[#This Row],[Qty]]))</f>
        <v/>
      </c>
      <c r="G60" s="4"/>
    </row>
    <row r="61" spans="1:7" ht="30" customHeight="1" x14ac:dyDescent="0.3">
      <c r="A61" s="4"/>
      <c r="B61" s="4" t="str">
        <f>IF(Table13[[#This Row],[Product ID]]="","",VLOOKUP(Table13[[#This Row],[Product ID]],data,2,FALSE))</f>
        <v/>
      </c>
      <c r="C61" s="4" t="str">
        <f>IF(Table13[[#This Row],[Product ID]]="","",VLOOKUP(Table13[[#This Row],[Product ID]],data,3,FALSE))</f>
        <v/>
      </c>
      <c r="D61" s="7" t="str">
        <f>IF(Table13[[#This Row],[Product ID]]="","",VLOOKUP(Table13[[#This Row],[Product ID]],data,4,FALSE))</f>
        <v/>
      </c>
      <c r="E61" s="7"/>
      <c r="F61" s="7" t="str">
        <f>IF(Table13[[#This Row],[Product ID]]="","",PRODUCT(Table13[[#This Row],[Unit ]]*Table13[[#This Row],[Qty]]))</f>
        <v/>
      </c>
      <c r="G61" s="4"/>
    </row>
    <row r="62" spans="1:7" ht="30" customHeight="1" x14ac:dyDescent="0.3">
      <c r="A62" s="4"/>
      <c r="B62" s="4" t="str">
        <f>IF(Table13[[#This Row],[Product ID]]="","",VLOOKUP(Table13[[#This Row],[Product ID]],data,2,FALSE))</f>
        <v/>
      </c>
      <c r="C62" s="4" t="str">
        <f>IF(Table13[[#This Row],[Product ID]]="","",VLOOKUP(Table13[[#This Row],[Product ID]],data,3,FALSE))</f>
        <v/>
      </c>
      <c r="D62" s="7" t="str">
        <f>IF(Table13[[#This Row],[Product ID]]="","",VLOOKUP(Table13[[#This Row],[Product ID]],data,4,FALSE))</f>
        <v/>
      </c>
      <c r="E62" s="7"/>
      <c r="F62" s="7" t="str">
        <f>IF(Table13[[#This Row],[Product ID]]="","",PRODUCT(Table13[[#This Row],[Unit ]]*Table13[[#This Row],[Qty]]))</f>
        <v/>
      </c>
      <c r="G62" s="4"/>
    </row>
    <row r="63" spans="1:7" ht="30" customHeight="1" x14ac:dyDescent="0.3">
      <c r="A63" s="4"/>
      <c r="B63" s="4" t="str">
        <f>IF(Table13[[#This Row],[Product ID]]="","",VLOOKUP(Table13[[#This Row],[Product ID]],data,2,FALSE))</f>
        <v/>
      </c>
      <c r="C63" s="4" t="str">
        <f>IF(Table13[[#This Row],[Product ID]]="","",VLOOKUP(Table13[[#This Row],[Product ID]],data,3,FALSE))</f>
        <v/>
      </c>
      <c r="D63" s="7" t="str">
        <f>IF(Table13[[#This Row],[Product ID]]="","",VLOOKUP(Table13[[#This Row],[Product ID]],data,4,FALSE))</f>
        <v/>
      </c>
      <c r="E63" s="7"/>
      <c r="F63" s="7" t="str">
        <f>IF(Table13[[#This Row],[Product ID]]="","",PRODUCT(Table13[[#This Row],[Unit ]]*Table13[[#This Row],[Qty]]))</f>
        <v/>
      </c>
      <c r="G63" s="4"/>
    </row>
    <row r="64" spans="1:7" ht="30" customHeight="1" x14ac:dyDescent="0.3">
      <c r="A64" s="4"/>
      <c r="B64" s="4" t="str">
        <f>IF(Table13[[#This Row],[Product ID]]="","",VLOOKUP(Table13[[#This Row],[Product ID]],data,2,FALSE))</f>
        <v/>
      </c>
      <c r="C64" s="4" t="str">
        <f>IF(Table13[[#This Row],[Product ID]]="","",VLOOKUP(Table13[[#This Row],[Product ID]],data,3,FALSE))</f>
        <v/>
      </c>
      <c r="D64" s="7" t="str">
        <f>IF(Table13[[#This Row],[Product ID]]="","",VLOOKUP(Table13[[#This Row],[Product ID]],data,4,FALSE))</f>
        <v/>
      </c>
      <c r="E64" s="7"/>
      <c r="F64" s="7" t="str">
        <f>IF(Table13[[#This Row],[Product ID]]="","",PRODUCT(Table13[[#This Row],[Unit ]]*Table13[[#This Row],[Qty]]))</f>
        <v/>
      </c>
      <c r="G64" s="4"/>
    </row>
    <row r="65" spans="1:7" ht="30" customHeight="1" x14ac:dyDescent="0.3">
      <c r="A65" s="4"/>
      <c r="B65" s="4" t="str">
        <f>IF(Table13[[#This Row],[Product ID]]="","",VLOOKUP(Table13[[#This Row],[Product ID]],data,2,FALSE))</f>
        <v/>
      </c>
      <c r="C65" s="4" t="str">
        <f>IF(Table13[[#This Row],[Product ID]]="","",VLOOKUP(Table13[[#This Row],[Product ID]],data,3,FALSE))</f>
        <v/>
      </c>
      <c r="D65" s="7" t="str">
        <f>IF(Table13[[#This Row],[Product ID]]="","",VLOOKUP(Table13[[#This Row],[Product ID]],data,4,FALSE))</f>
        <v/>
      </c>
      <c r="E65" s="7"/>
      <c r="F65" s="7" t="str">
        <f>IF(Table13[[#This Row],[Product ID]]="","",PRODUCT(Table13[[#This Row],[Unit ]]*Table13[[#This Row],[Qty]]))</f>
        <v/>
      </c>
      <c r="G65" s="4"/>
    </row>
    <row r="66" spans="1:7" ht="30" customHeight="1" x14ac:dyDescent="0.3">
      <c r="A66" s="4"/>
      <c r="B66" s="4" t="str">
        <f>IF(Table13[[#This Row],[Product ID]]="","",VLOOKUP(Table13[[#This Row],[Product ID]],data,2,FALSE))</f>
        <v/>
      </c>
      <c r="C66" s="4" t="str">
        <f>IF(Table13[[#This Row],[Product ID]]="","",VLOOKUP(Table13[[#This Row],[Product ID]],data,3,FALSE))</f>
        <v/>
      </c>
      <c r="D66" s="7" t="str">
        <f>IF(Table13[[#This Row],[Product ID]]="","",VLOOKUP(Table13[[#This Row],[Product ID]],data,4,FALSE))</f>
        <v/>
      </c>
      <c r="E66" s="7"/>
      <c r="F66" s="7" t="str">
        <f>IF(Table13[[#This Row],[Product ID]]="","",PRODUCT(Table13[[#This Row],[Unit ]]*Table13[[#This Row],[Qty]]))</f>
        <v/>
      </c>
      <c r="G66" s="4"/>
    </row>
    <row r="67" spans="1:7" ht="30" customHeight="1" x14ac:dyDescent="0.3">
      <c r="A67" s="4"/>
      <c r="B67" s="4" t="str">
        <f>IF(Table13[[#This Row],[Product ID]]="","",VLOOKUP(Table13[[#This Row],[Product ID]],data,2,FALSE))</f>
        <v/>
      </c>
      <c r="C67" s="4" t="str">
        <f>IF(Table13[[#This Row],[Product ID]]="","",VLOOKUP(Table13[[#This Row],[Product ID]],data,3,FALSE))</f>
        <v/>
      </c>
      <c r="D67" s="7" t="str">
        <f>IF(Table13[[#This Row],[Product ID]]="","",VLOOKUP(Table13[[#This Row],[Product ID]],data,4,FALSE))</f>
        <v/>
      </c>
      <c r="E67" s="7"/>
      <c r="F67" s="7" t="str">
        <f>IF(Table13[[#This Row],[Product ID]]="","",PRODUCT(Table13[[#This Row],[Unit ]]*Table13[[#This Row],[Qty]]))</f>
        <v/>
      </c>
      <c r="G67" s="4"/>
    </row>
    <row r="68" spans="1:7" ht="30" customHeight="1" x14ac:dyDescent="0.3">
      <c r="A68" s="4"/>
      <c r="B68" s="4" t="str">
        <f>IF(Table13[[#This Row],[Product ID]]="","",VLOOKUP(Table13[[#This Row],[Product ID]],data,2,FALSE))</f>
        <v/>
      </c>
      <c r="C68" s="4" t="str">
        <f>IF(Table13[[#This Row],[Product ID]]="","",VLOOKUP(Table13[[#This Row],[Product ID]],data,3,FALSE))</f>
        <v/>
      </c>
      <c r="D68" s="7" t="str">
        <f>IF(Table13[[#This Row],[Product ID]]="","",VLOOKUP(Table13[[#This Row],[Product ID]],data,4,FALSE))</f>
        <v/>
      </c>
      <c r="E68" s="7"/>
      <c r="F68" s="7" t="str">
        <f>IF(Table13[[#This Row],[Product ID]]="","",PRODUCT(Table13[[#This Row],[Unit ]]*Table13[[#This Row],[Qty]]))</f>
        <v/>
      </c>
      <c r="G68" s="4"/>
    </row>
    <row r="69" spans="1:7" ht="30" customHeight="1" x14ac:dyDescent="0.3">
      <c r="A69" s="4"/>
      <c r="B69" s="4" t="str">
        <f>IF(Table13[[#This Row],[Product ID]]="","",VLOOKUP(Table13[[#This Row],[Product ID]],data,2,FALSE))</f>
        <v/>
      </c>
      <c r="C69" s="4" t="str">
        <f>IF(Table13[[#This Row],[Product ID]]="","",VLOOKUP(Table13[[#This Row],[Product ID]],data,3,FALSE))</f>
        <v/>
      </c>
      <c r="D69" s="7" t="str">
        <f>IF(Table13[[#This Row],[Product ID]]="","",VLOOKUP(Table13[[#This Row],[Product ID]],data,4,FALSE))</f>
        <v/>
      </c>
      <c r="E69" s="7"/>
      <c r="F69" s="7" t="str">
        <f>IF(Table13[[#This Row],[Product ID]]="","",PRODUCT(Table13[[#This Row],[Unit ]]*Table13[[#This Row],[Qty]]))</f>
        <v/>
      </c>
      <c r="G69" s="4"/>
    </row>
    <row r="70" spans="1:7" ht="30" customHeight="1" x14ac:dyDescent="0.3">
      <c r="A70" s="4"/>
      <c r="B70" s="4" t="str">
        <f>IF(Table13[[#This Row],[Product ID]]="","",VLOOKUP(Table13[[#This Row],[Product ID]],data,2,FALSE))</f>
        <v/>
      </c>
      <c r="C70" s="4" t="str">
        <f>IF(Table13[[#This Row],[Product ID]]="","",VLOOKUP(Table13[[#This Row],[Product ID]],data,3,FALSE))</f>
        <v/>
      </c>
      <c r="D70" s="7" t="str">
        <f>IF(Table13[[#This Row],[Product ID]]="","",VLOOKUP(Table13[[#This Row],[Product ID]],data,4,FALSE))</f>
        <v/>
      </c>
      <c r="E70" s="7"/>
      <c r="F70" s="7" t="str">
        <f>IF(Table13[[#This Row],[Product ID]]="","",PRODUCT(Table13[[#This Row],[Unit ]]*Table13[[#This Row],[Qty]]))</f>
        <v/>
      </c>
      <c r="G70" s="4"/>
    </row>
    <row r="71" spans="1:7" ht="30" customHeight="1" x14ac:dyDescent="0.3">
      <c r="A71" s="4"/>
      <c r="B71" s="4" t="str">
        <f>IF(Table13[[#This Row],[Product ID]]="","",VLOOKUP(Table13[[#This Row],[Product ID]],data,2,FALSE))</f>
        <v/>
      </c>
      <c r="C71" s="4" t="str">
        <f>IF(Table13[[#This Row],[Product ID]]="","",VLOOKUP(Table13[[#This Row],[Product ID]],data,3,FALSE))</f>
        <v/>
      </c>
      <c r="D71" s="7" t="str">
        <f>IF(Table13[[#This Row],[Product ID]]="","",VLOOKUP(Table13[[#This Row],[Product ID]],data,4,FALSE))</f>
        <v/>
      </c>
      <c r="E71" s="7"/>
      <c r="F71" s="7" t="str">
        <f>IF(Table13[[#This Row],[Product ID]]="","",PRODUCT(Table13[[#This Row],[Unit ]]*Table13[[#This Row],[Qty]]))</f>
        <v/>
      </c>
      <c r="G71" s="4"/>
    </row>
    <row r="72" spans="1:7" ht="30" customHeight="1" x14ac:dyDescent="0.3">
      <c r="A72" s="4"/>
      <c r="B72" s="4" t="str">
        <f>IF(Table13[[#This Row],[Product ID]]="","",VLOOKUP(Table13[[#This Row],[Product ID]],data,2,FALSE))</f>
        <v/>
      </c>
      <c r="C72" s="4" t="str">
        <f>IF(Table13[[#This Row],[Product ID]]="","",VLOOKUP(Table13[[#This Row],[Product ID]],data,3,FALSE))</f>
        <v/>
      </c>
      <c r="D72" s="7" t="str">
        <f>IF(Table13[[#This Row],[Product ID]]="","",VLOOKUP(Table13[[#This Row],[Product ID]],data,4,FALSE))</f>
        <v/>
      </c>
      <c r="E72" s="7"/>
      <c r="F72" s="7" t="str">
        <f>IF(Table13[[#This Row],[Product ID]]="","",PRODUCT(Table13[[#This Row],[Unit ]]*Table13[[#This Row],[Qty]]))</f>
        <v/>
      </c>
      <c r="G72" s="4"/>
    </row>
    <row r="73" spans="1:7" ht="30" customHeight="1" x14ac:dyDescent="0.3">
      <c r="A73" s="4"/>
      <c r="B73" s="4" t="str">
        <f>IF(Table13[[#This Row],[Product ID]]="","",VLOOKUP(Table13[[#This Row],[Product ID]],data,2,FALSE))</f>
        <v/>
      </c>
      <c r="C73" s="4" t="str">
        <f>IF(Table13[[#This Row],[Product ID]]="","",VLOOKUP(Table13[[#This Row],[Product ID]],data,3,FALSE))</f>
        <v/>
      </c>
      <c r="D73" s="7" t="str">
        <f>IF(Table13[[#This Row],[Product ID]]="","",VLOOKUP(Table13[[#This Row],[Product ID]],data,4,FALSE))</f>
        <v/>
      </c>
      <c r="E73" s="7"/>
      <c r="F73" s="7" t="str">
        <f>IF(Table13[[#This Row],[Product ID]]="","",PRODUCT(Table13[[#This Row],[Unit ]]*Table13[[#This Row],[Qty]]))</f>
        <v/>
      </c>
      <c r="G73" s="4"/>
    </row>
    <row r="74" spans="1:7" ht="30" customHeight="1" x14ac:dyDescent="0.3">
      <c r="A74" s="4"/>
      <c r="B74" s="4" t="str">
        <f>IF(Table13[[#This Row],[Product ID]]="","",VLOOKUP(Table13[[#This Row],[Product ID]],data,2,FALSE))</f>
        <v/>
      </c>
      <c r="C74" s="4" t="str">
        <f>IF(Table13[[#This Row],[Product ID]]="","",VLOOKUP(Table13[[#This Row],[Product ID]],data,3,FALSE))</f>
        <v/>
      </c>
      <c r="D74" s="7" t="str">
        <f>IF(Table13[[#This Row],[Product ID]]="","",VLOOKUP(Table13[[#This Row],[Product ID]],data,4,FALSE))</f>
        <v/>
      </c>
      <c r="E74" s="7"/>
      <c r="F74" s="7" t="str">
        <f>IF(Table13[[#This Row],[Product ID]]="","",PRODUCT(Table13[[#This Row],[Unit ]]*Table13[[#This Row],[Qty]]))</f>
        <v/>
      </c>
      <c r="G74" s="4"/>
    </row>
    <row r="75" spans="1:7" ht="30" customHeight="1" x14ac:dyDescent="0.3">
      <c r="A75" s="4"/>
      <c r="B75" s="4" t="str">
        <f>IF(Table13[[#This Row],[Product ID]]="","",VLOOKUP(Table13[[#This Row],[Product ID]],data,2,FALSE))</f>
        <v/>
      </c>
      <c r="C75" s="4" t="str">
        <f>IF(Table13[[#This Row],[Product ID]]="","",VLOOKUP(Table13[[#This Row],[Product ID]],data,3,FALSE))</f>
        <v/>
      </c>
      <c r="D75" s="7" t="str">
        <f>IF(Table13[[#This Row],[Product ID]]="","",VLOOKUP(Table13[[#This Row],[Product ID]],data,4,FALSE))</f>
        <v/>
      </c>
      <c r="E75" s="7"/>
      <c r="F75" s="7" t="str">
        <f>IF(Table13[[#This Row],[Product ID]]="","",PRODUCT(Table13[[#This Row],[Unit ]]*Table13[[#This Row],[Qty]]))</f>
        <v/>
      </c>
      <c r="G75" s="4"/>
    </row>
    <row r="76" spans="1:7" ht="30" customHeight="1" x14ac:dyDescent="0.3">
      <c r="A76" s="4"/>
      <c r="B76" s="4" t="str">
        <f>IF(Table13[[#This Row],[Product ID]]="","",VLOOKUP(Table13[[#This Row],[Product ID]],data,2,FALSE))</f>
        <v/>
      </c>
      <c r="C76" s="4" t="str">
        <f>IF(Table13[[#This Row],[Product ID]]="","",VLOOKUP(Table13[[#This Row],[Product ID]],data,3,FALSE))</f>
        <v/>
      </c>
      <c r="D76" s="7" t="str">
        <f>IF(Table13[[#This Row],[Product ID]]="","",VLOOKUP(Table13[[#This Row],[Product ID]],data,4,FALSE))</f>
        <v/>
      </c>
      <c r="E76" s="7"/>
      <c r="F76" s="7" t="str">
        <f>IF(Table13[[#This Row],[Product ID]]="","",PRODUCT(Table13[[#This Row],[Unit ]]*Table13[[#This Row],[Qty]]))</f>
        <v/>
      </c>
      <c r="G76" s="4"/>
    </row>
    <row r="77" spans="1:7" ht="30" customHeight="1" x14ac:dyDescent="0.3">
      <c r="A77" s="4"/>
      <c r="B77" s="4" t="str">
        <f>IF(Table13[[#This Row],[Product ID]]="","",VLOOKUP(Table13[[#This Row],[Product ID]],data,2,FALSE))</f>
        <v/>
      </c>
      <c r="C77" s="4" t="str">
        <f>IF(Table13[[#This Row],[Product ID]]="","",VLOOKUP(Table13[[#This Row],[Product ID]],data,3,FALSE))</f>
        <v/>
      </c>
      <c r="D77" s="7" t="str">
        <f>IF(Table13[[#This Row],[Product ID]]="","",VLOOKUP(Table13[[#This Row],[Product ID]],data,4,FALSE))</f>
        <v/>
      </c>
      <c r="E77" s="7"/>
      <c r="F77" s="7" t="str">
        <f>IF(Table13[[#This Row],[Product ID]]="","",PRODUCT(Table13[[#This Row],[Unit ]]*Table13[[#This Row],[Qty]]))</f>
        <v/>
      </c>
      <c r="G77" s="4"/>
    </row>
    <row r="78" spans="1:7" ht="30" customHeight="1" x14ac:dyDescent="0.3">
      <c r="A78" s="4"/>
      <c r="B78" s="4" t="str">
        <f>IF(Table13[[#This Row],[Product ID]]="","",VLOOKUP(Table13[[#This Row],[Product ID]],data,2,FALSE))</f>
        <v/>
      </c>
      <c r="C78" s="4" t="str">
        <f>IF(Table13[[#This Row],[Product ID]]="","",VLOOKUP(Table13[[#This Row],[Product ID]],data,3,FALSE))</f>
        <v/>
      </c>
      <c r="D78" s="7" t="str">
        <f>IF(Table13[[#This Row],[Product ID]]="","",VLOOKUP(Table13[[#This Row],[Product ID]],data,4,FALSE))</f>
        <v/>
      </c>
      <c r="E78" s="7"/>
      <c r="F78" s="7" t="str">
        <f>IF(Table13[[#This Row],[Product ID]]="","",PRODUCT(Table13[[#This Row],[Unit ]]*Table13[[#This Row],[Qty]]))</f>
        <v/>
      </c>
      <c r="G78" s="4"/>
    </row>
    <row r="79" spans="1:7" ht="30" customHeight="1" x14ac:dyDescent="0.3">
      <c r="A79" s="4"/>
      <c r="B79" s="4" t="str">
        <f>IF(Table13[[#This Row],[Product ID]]="","",VLOOKUP(Table13[[#This Row],[Product ID]],data,2,FALSE))</f>
        <v/>
      </c>
      <c r="C79" s="4" t="str">
        <f>IF(Table13[[#This Row],[Product ID]]="","",VLOOKUP(Table13[[#This Row],[Product ID]],data,3,FALSE))</f>
        <v/>
      </c>
      <c r="D79" s="7" t="str">
        <f>IF(Table13[[#This Row],[Product ID]]="","",VLOOKUP(Table13[[#This Row],[Product ID]],data,4,FALSE))</f>
        <v/>
      </c>
      <c r="E79" s="7"/>
      <c r="F79" s="7" t="str">
        <f>IF(Table13[[#This Row],[Product ID]]="","",PRODUCT(Table13[[#This Row],[Unit ]]*Table13[[#This Row],[Qty]]))</f>
        <v/>
      </c>
      <c r="G79" s="4"/>
    </row>
    <row r="80" spans="1:7" ht="30" customHeight="1" x14ac:dyDescent="0.3">
      <c r="A80" s="4"/>
      <c r="B80" s="4" t="str">
        <f>IF(Table13[[#This Row],[Product ID]]="","",VLOOKUP(Table13[[#This Row],[Product ID]],data,2,FALSE))</f>
        <v/>
      </c>
      <c r="C80" s="4" t="str">
        <f>IF(Table13[[#This Row],[Product ID]]="","",VLOOKUP(Table13[[#This Row],[Product ID]],data,3,FALSE))</f>
        <v/>
      </c>
      <c r="D80" s="7" t="str">
        <f>IF(Table13[[#This Row],[Product ID]]="","",VLOOKUP(Table13[[#This Row],[Product ID]],data,4,FALSE))</f>
        <v/>
      </c>
      <c r="E80" s="7"/>
      <c r="F80" s="7" t="str">
        <f>IF(Table13[[#This Row],[Product ID]]="","",PRODUCT(Table13[[#This Row],[Unit ]]*Table13[[#This Row],[Qty]]))</f>
        <v/>
      </c>
      <c r="G80" s="4"/>
    </row>
    <row r="81" spans="1:7" ht="30" customHeight="1" x14ac:dyDescent="0.3">
      <c r="A81" s="4"/>
      <c r="B81" s="4" t="str">
        <f>IF(Table13[[#This Row],[Product ID]]="","",VLOOKUP(Table13[[#This Row],[Product ID]],data,2,FALSE))</f>
        <v/>
      </c>
      <c r="C81" s="4" t="str">
        <f>IF(Table13[[#This Row],[Product ID]]="","",VLOOKUP(Table13[[#This Row],[Product ID]],data,3,FALSE))</f>
        <v/>
      </c>
      <c r="D81" s="7" t="str">
        <f>IF(Table13[[#This Row],[Product ID]]="","",VLOOKUP(Table13[[#This Row],[Product ID]],data,4,FALSE))</f>
        <v/>
      </c>
      <c r="E81" s="7"/>
      <c r="F81" s="7" t="str">
        <f>IF(Table13[[#This Row],[Product ID]]="","",PRODUCT(Table13[[#This Row],[Unit ]]*Table13[[#This Row],[Qty]]))</f>
        <v/>
      </c>
      <c r="G81" s="4"/>
    </row>
    <row r="82" spans="1:7" ht="30" customHeight="1" x14ac:dyDescent="0.3">
      <c r="A82" s="4"/>
      <c r="B82" s="4" t="str">
        <f>IF(Table13[[#This Row],[Product ID]]="","",VLOOKUP(Table13[[#This Row],[Product ID]],data,2,FALSE))</f>
        <v/>
      </c>
      <c r="C82" s="4" t="str">
        <f>IF(Table13[[#This Row],[Product ID]]="","",VLOOKUP(Table13[[#This Row],[Product ID]],data,3,FALSE))</f>
        <v/>
      </c>
      <c r="D82" s="7" t="str">
        <f>IF(Table13[[#This Row],[Product ID]]="","",VLOOKUP(Table13[[#This Row],[Product ID]],data,4,FALSE))</f>
        <v/>
      </c>
      <c r="E82" s="7"/>
      <c r="F82" s="7" t="str">
        <f>IF(Table13[[#This Row],[Product ID]]="","",PRODUCT(Table13[[#This Row],[Unit ]]*Table13[[#This Row],[Qty]]))</f>
        <v/>
      </c>
      <c r="G82" s="4"/>
    </row>
    <row r="83" spans="1:7" ht="30" customHeight="1" x14ac:dyDescent="0.3">
      <c r="A83" s="4"/>
      <c r="B83" s="4" t="str">
        <f>IF(Table13[[#This Row],[Product ID]]="","",VLOOKUP(Table13[[#This Row],[Product ID]],data,2,FALSE))</f>
        <v/>
      </c>
      <c r="C83" s="4" t="str">
        <f>IF(Table13[[#This Row],[Product ID]]="","",VLOOKUP(Table13[[#This Row],[Product ID]],data,3,FALSE))</f>
        <v/>
      </c>
      <c r="D83" s="7" t="str">
        <f>IF(Table13[[#This Row],[Product ID]]="","",VLOOKUP(Table13[[#This Row],[Product ID]],data,4,FALSE))</f>
        <v/>
      </c>
      <c r="E83" s="7"/>
      <c r="F83" s="7" t="str">
        <f>IF(Table13[[#This Row],[Product ID]]="","",PRODUCT(Table13[[#This Row],[Unit ]]*Table13[[#This Row],[Qty]]))</f>
        <v/>
      </c>
      <c r="G83" s="4"/>
    </row>
    <row r="84" spans="1:7" ht="30" customHeight="1" x14ac:dyDescent="0.3">
      <c r="A84" s="4"/>
      <c r="B84" s="4" t="str">
        <f>IF(Table13[[#This Row],[Product ID]]="","",VLOOKUP(Table13[[#This Row],[Product ID]],data,2,FALSE))</f>
        <v/>
      </c>
      <c r="C84" s="4" t="str">
        <f>IF(Table13[[#This Row],[Product ID]]="","",VLOOKUP(Table13[[#This Row],[Product ID]],data,3,FALSE))</f>
        <v/>
      </c>
      <c r="D84" s="7" t="str">
        <f>IF(Table13[[#This Row],[Product ID]]="","",VLOOKUP(Table13[[#This Row],[Product ID]],data,4,FALSE))</f>
        <v/>
      </c>
      <c r="E84" s="7"/>
      <c r="F84" s="7" t="str">
        <f>IF(Table13[[#This Row],[Product ID]]="","",PRODUCT(Table13[[#This Row],[Unit ]]*Table13[[#This Row],[Qty]]))</f>
        <v/>
      </c>
      <c r="G84" s="4"/>
    </row>
    <row r="85" spans="1:7" ht="30" customHeight="1" x14ac:dyDescent="0.3">
      <c r="A85" s="4"/>
      <c r="B85" s="4" t="str">
        <f>IF(Table13[[#This Row],[Product ID]]="","",VLOOKUP(Table13[[#This Row],[Product ID]],data,2,FALSE))</f>
        <v/>
      </c>
      <c r="C85" s="4" t="str">
        <f>IF(Table13[[#This Row],[Product ID]]="","",VLOOKUP(Table13[[#This Row],[Product ID]],data,3,FALSE))</f>
        <v/>
      </c>
      <c r="D85" s="7" t="str">
        <f>IF(Table13[[#This Row],[Product ID]]="","",VLOOKUP(Table13[[#This Row],[Product ID]],data,4,FALSE))</f>
        <v/>
      </c>
      <c r="E85" s="7"/>
      <c r="F85" s="7" t="str">
        <f>IF(Table13[[#This Row],[Product ID]]="","",PRODUCT(Table13[[#This Row],[Unit ]]*Table13[[#This Row],[Qty]]))</f>
        <v/>
      </c>
      <c r="G85" s="4"/>
    </row>
    <row r="86" spans="1:7" ht="30" customHeight="1" x14ac:dyDescent="0.3">
      <c r="A86" s="4"/>
      <c r="B86" s="4" t="str">
        <f>IF(Table13[[#This Row],[Product ID]]="","",VLOOKUP(Table13[[#This Row],[Product ID]],data,2,FALSE))</f>
        <v/>
      </c>
      <c r="C86" s="4" t="str">
        <f>IF(Table13[[#This Row],[Product ID]]="","",VLOOKUP(Table13[[#This Row],[Product ID]],data,3,FALSE))</f>
        <v/>
      </c>
      <c r="D86" s="7" t="str">
        <f>IF(Table13[[#This Row],[Product ID]]="","",VLOOKUP(Table13[[#This Row],[Product ID]],data,4,FALSE))</f>
        <v/>
      </c>
      <c r="E86" s="7"/>
      <c r="F86" s="7" t="str">
        <f>IF(Table13[[#This Row],[Product ID]]="","",PRODUCT(Table13[[#This Row],[Unit ]]*Table13[[#This Row],[Qty]]))</f>
        <v/>
      </c>
      <c r="G86" s="4"/>
    </row>
    <row r="87" spans="1:7" ht="30" customHeight="1" x14ac:dyDescent="0.3">
      <c r="A87" s="4"/>
      <c r="B87" s="4" t="str">
        <f>IF(Table13[[#This Row],[Product ID]]="","",VLOOKUP(Table13[[#This Row],[Product ID]],data,2,FALSE))</f>
        <v/>
      </c>
      <c r="C87" s="4" t="str">
        <f>IF(Table13[[#This Row],[Product ID]]="","",VLOOKUP(Table13[[#This Row],[Product ID]],data,3,FALSE))</f>
        <v/>
      </c>
      <c r="D87" s="7" t="str">
        <f>IF(Table13[[#This Row],[Product ID]]="","",VLOOKUP(Table13[[#This Row],[Product ID]],data,4,FALSE))</f>
        <v/>
      </c>
      <c r="E87" s="7"/>
      <c r="F87" s="7" t="str">
        <f>IF(Table13[[#This Row],[Product ID]]="","",PRODUCT(Table13[[#This Row],[Unit ]]*Table13[[#This Row],[Qty]]))</f>
        <v/>
      </c>
      <c r="G87" s="4"/>
    </row>
    <row r="88" spans="1:7" ht="30" customHeight="1" x14ac:dyDescent="0.3">
      <c r="A88" s="4"/>
      <c r="B88" s="4" t="str">
        <f>IF(Table13[[#This Row],[Product ID]]="","",VLOOKUP(Table13[[#This Row],[Product ID]],data,2,FALSE))</f>
        <v/>
      </c>
      <c r="C88" s="4" t="str">
        <f>IF(Table13[[#This Row],[Product ID]]="","",VLOOKUP(Table13[[#This Row],[Product ID]],data,3,FALSE))</f>
        <v/>
      </c>
      <c r="D88" s="7" t="str">
        <f>IF(Table13[[#This Row],[Product ID]]="","",VLOOKUP(Table13[[#This Row],[Product ID]],data,4,FALSE))</f>
        <v/>
      </c>
      <c r="E88" s="7"/>
      <c r="F88" s="7" t="str">
        <f>IF(Table13[[#This Row],[Product ID]]="","",PRODUCT(Table13[[#This Row],[Unit ]]*Table13[[#This Row],[Qty]]))</f>
        <v/>
      </c>
      <c r="G88" s="4"/>
    </row>
    <row r="89" spans="1:7" ht="30" customHeight="1" x14ac:dyDescent="0.3">
      <c r="A89" s="4"/>
      <c r="B89" s="4" t="str">
        <f>IF(Table13[[#This Row],[Product ID]]="","",VLOOKUP(Table13[[#This Row],[Product ID]],data,2,FALSE))</f>
        <v/>
      </c>
      <c r="C89" s="4" t="str">
        <f>IF(Table13[[#This Row],[Product ID]]="","",VLOOKUP(Table13[[#This Row],[Product ID]],data,3,FALSE))</f>
        <v/>
      </c>
      <c r="D89" s="7" t="str">
        <f>IF(Table13[[#This Row],[Product ID]]="","",VLOOKUP(Table13[[#This Row],[Product ID]],data,4,FALSE))</f>
        <v/>
      </c>
      <c r="E89" s="7"/>
      <c r="F89" s="7" t="str">
        <f>IF(Table13[[#This Row],[Product ID]]="","",PRODUCT(Table13[[#This Row],[Unit ]]*Table13[[#This Row],[Qty]]))</f>
        <v/>
      </c>
      <c r="G89" s="4"/>
    </row>
    <row r="90" spans="1:7" ht="30" customHeight="1" x14ac:dyDescent="0.3">
      <c r="A90" s="4"/>
      <c r="B90" s="4" t="str">
        <f>IF(Table13[[#This Row],[Product ID]]="","",VLOOKUP(Table13[[#This Row],[Product ID]],data,2,FALSE))</f>
        <v/>
      </c>
      <c r="C90" s="4" t="str">
        <f>IF(Table13[[#This Row],[Product ID]]="","",VLOOKUP(Table13[[#This Row],[Product ID]],data,3,FALSE))</f>
        <v/>
      </c>
      <c r="D90" s="7" t="str">
        <f>IF(Table13[[#This Row],[Product ID]]="","",VLOOKUP(Table13[[#This Row],[Product ID]],data,4,FALSE))</f>
        <v/>
      </c>
      <c r="E90" s="7"/>
      <c r="F90" s="7" t="str">
        <f>IF(Table13[[#This Row],[Product ID]]="","",PRODUCT(Table13[[#This Row],[Unit ]]*Table13[[#This Row],[Qty]]))</f>
        <v/>
      </c>
      <c r="G90" s="4"/>
    </row>
    <row r="91" spans="1:7" ht="30" customHeight="1" x14ac:dyDescent="0.3">
      <c r="A91" s="4"/>
      <c r="B91" s="4" t="str">
        <f>IF(Table13[[#This Row],[Product ID]]="","",VLOOKUP(Table13[[#This Row],[Product ID]],data,2,FALSE))</f>
        <v/>
      </c>
      <c r="C91" s="4" t="str">
        <f>IF(Table13[[#This Row],[Product ID]]="","",VLOOKUP(Table13[[#This Row],[Product ID]],data,3,FALSE))</f>
        <v/>
      </c>
      <c r="D91" s="7" t="str">
        <f>IF(Table13[[#This Row],[Product ID]]="","",VLOOKUP(Table13[[#This Row],[Product ID]],data,4,FALSE))</f>
        <v/>
      </c>
      <c r="E91" s="7"/>
      <c r="F91" s="7" t="str">
        <f>IF(Table13[[#This Row],[Product ID]]="","",PRODUCT(Table13[[#This Row],[Unit ]]*Table13[[#This Row],[Qty]]))</f>
        <v/>
      </c>
      <c r="G91" s="4"/>
    </row>
    <row r="92" spans="1:7" ht="30" customHeight="1" x14ac:dyDescent="0.3">
      <c r="A92" s="4"/>
      <c r="B92" s="4" t="str">
        <f>IF(Table13[[#This Row],[Product ID]]="","",VLOOKUP(Table13[[#This Row],[Product ID]],data,2,FALSE))</f>
        <v/>
      </c>
      <c r="C92" s="4" t="str">
        <f>IF(Table13[[#This Row],[Product ID]]="","",VLOOKUP(Table13[[#This Row],[Product ID]],data,3,FALSE))</f>
        <v/>
      </c>
      <c r="D92" s="7" t="str">
        <f>IF(Table13[[#This Row],[Product ID]]="","",VLOOKUP(Table13[[#This Row],[Product ID]],data,4,FALSE))</f>
        <v/>
      </c>
      <c r="E92" s="7"/>
      <c r="F92" s="7" t="str">
        <f>IF(Table13[[#This Row],[Product ID]]="","",PRODUCT(Table13[[#This Row],[Unit ]]*Table13[[#This Row],[Qty]]))</f>
        <v/>
      </c>
      <c r="G92" s="4"/>
    </row>
    <row r="93" spans="1:7" ht="30" customHeight="1" x14ac:dyDescent="0.3">
      <c r="A93" s="4"/>
      <c r="B93" s="4" t="str">
        <f>IF(Table13[[#This Row],[Product ID]]="","",VLOOKUP(Table13[[#This Row],[Product ID]],data,2,FALSE))</f>
        <v/>
      </c>
      <c r="C93" s="4" t="str">
        <f>IF(Table13[[#This Row],[Product ID]]="","",VLOOKUP(Table13[[#This Row],[Product ID]],data,3,FALSE))</f>
        <v/>
      </c>
      <c r="D93" s="7" t="str">
        <f>IF(Table13[[#This Row],[Product ID]]="","",VLOOKUP(Table13[[#This Row],[Product ID]],data,4,FALSE))</f>
        <v/>
      </c>
      <c r="E93" s="7"/>
      <c r="F93" s="7" t="str">
        <f>IF(Table13[[#This Row],[Product ID]]="","",PRODUCT(Table13[[#This Row],[Unit ]]*Table13[[#This Row],[Qty]]))</f>
        <v/>
      </c>
      <c r="G93" s="4"/>
    </row>
    <row r="94" spans="1:7" ht="30" customHeight="1" x14ac:dyDescent="0.3">
      <c r="A94" s="4"/>
      <c r="B94" s="4" t="str">
        <f>IF(Table13[[#This Row],[Product ID]]="","",VLOOKUP(Table13[[#This Row],[Product ID]],data,2,FALSE))</f>
        <v/>
      </c>
      <c r="C94" s="4" t="str">
        <f>IF(Table13[[#This Row],[Product ID]]="","",VLOOKUP(Table13[[#This Row],[Product ID]],data,3,FALSE))</f>
        <v/>
      </c>
      <c r="D94" s="7" t="str">
        <f>IF(Table13[[#This Row],[Product ID]]="","",VLOOKUP(Table13[[#This Row],[Product ID]],data,4,FALSE))</f>
        <v/>
      </c>
      <c r="E94" s="7"/>
      <c r="F94" s="7" t="str">
        <f>IF(Table13[[#This Row],[Product ID]]="","",PRODUCT(Table13[[#This Row],[Unit ]]*Table13[[#This Row],[Qty]]))</f>
        <v/>
      </c>
      <c r="G94" s="4"/>
    </row>
    <row r="95" spans="1:7" ht="30" customHeight="1" x14ac:dyDescent="0.3">
      <c r="A95" s="4"/>
      <c r="B95" s="4" t="str">
        <f>IF(Table13[[#This Row],[Product ID]]="","",VLOOKUP(Table13[[#This Row],[Product ID]],data,2,FALSE))</f>
        <v/>
      </c>
      <c r="C95" s="4" t="str">
        <f>IF(Table13[[#This Row],[Product ID]]="","",VLOOKUP(Table13[[#This Row],[Product ID]],data,3,FALSE))</f>
        <v/>
      </c>
      <c r="D95" s="7" t="str">
        <f>IF(Table13[[#This Row],[Product ID]]="","",VLOOKUP(Table13[[#This Row],[Product ID]],data,4,FALSE))</f>
        <v/>
      </c>
      <c r="E95" s="7"/>
      <c r="F95" s="7" t="str">
        <f>IF(Table13[[#This Row],[Product ID]]="","",PRODUCT(Table13[[#This Row],[Unit ]]*Table13[[#This Row],[Qty]]))</f>
        <v/>
      </c>
      <c r="G95" s="4"/>
    </row>
    <row r="96" spans="1:7" ht="30" customHeight="1" x14ac:dyDescent="0.3">
      <c r="A96" s="4"/>
      <c r="B96" s="4" t="str">
        <f>IF(Table13[[#This Row],[Product ID]]="","",VLOOKUP(Table13[[#This Row],[Product ID]],data,2,FALSE))</f>
        <v/>
      </c>
      <c r="C96" s="4" t="str">
        <f>IF(Table13[[#This Row],[Product ID]]="","",VLOOKUP(Table13[[#This Row],[Product ID]],data,3,FALSE))</f>
        <v/>
      </c>
      <c r="D96" s="7" t="str">
        <f>IF(Table13[[#This Row],[Product ID]]="","",VLOOKUP(Table13[[#This Row],[Product ID]],data,4,FALSE))</f>
        <v/>
      </c>
      <c r="E96" s="7"/>
      <c r="F96" s="7" t="str">
        <f>IF(Table13[[#This Row],[Product ID]]="","",PRODUCT(Table13[[#This Row],[Unit ]]*Table13[[#This Row],[Qty]]))</f>
        <v/>
      </c>
      <c r="G96" s="4"/>
    </row>
    <row r="97" spans="1:7" ht="30" customHeight="1" x14ac:dyDescent="0.3">
      <c r="A97" s="4"/>
      <c r="B97" s="4" t="str">
        <f>IF(Table13[[#This Row],[Product ID]]="","",VLOOKUP(Table13[[#This Row],[Product ID]],data,2,FALSE))</f>
        <v/>
      </c>
      <c r="C97" s="4" t="str">
        <f>IF(Table13[[#This Row],[Product ID]]="","",VLOOKUP(Table13[[#This Row],[Product ID]],data,3,FALSE))</f>
        <v/>
      </c>
      <c r="D97" s="7" t="str">
        <f>IF(Table13[[#This Row],[Product ID]]="","",VLOOKUP(Table13[[#This Row],[Product ID]],data,4,FALSE))</f>
        <v/>
      </c>
      <c r="E97" s="7"/>
      <c r="F97" s="7" t="str">
        <f>IF(Table13[[#This Row],[Product ID]]="","",PRODUCT(Table13[[#This Row],[Unit ]]*Table13[[#This Row],[Qty]]))</f>
        <v/>
      </c>
      <c r="G97" s="4"/>
    </row>
    <row r="98" spans="1:7" ht="30" customHeight="1" x14ac:dyDescent="0.3">
      <c r="A98" s="4"/>
      <c r="B98" s="4" t="str">
        <f>IF(Table13[[#This Row],[Product ID]]="","",VLOOKUP(Table13[[#This Row],[Product ID]],data,2,FALSE))</f>
        <v/>
      </c>
      <c r="C98" s="4" t="str">
        <f>IF(Table13[[#This Row],[Product ID]]="","",VLOOKUP(Table13[[#This Row],[Product ID]],data,3,FALSE))</f>
        <v/>
      </c>
      <c r="D98" s="7" t="str">
        <f>IF(Table13[[#This Row],[Product ID]]="","",VLOOKUP(Table13[[#This Row],[Product ID]],data,4,FALSE))</f>
        <v/>
      </c>
      <c r="E98" s="7"/>
      <c r="F98" s="7" t="str">
        <f>IF(Table13[[#This Row],[Product ID]]="","",PRODUCT(Table13[[#This Row],[Unit ]]*Table13[[#This Row],[Qty]]))</f>
        <v/>
      </c>
      <c r="G98" s="4"/>
    </row>
    <row r="99" spans="1:7" ht="30" customHeight="1" x14ac:dyDescent="0.3">
      <c r="A99" s="4"/>
      <c r="B99" s="4" t="str">
        <f>IF(Table13[[#This Row],[Product ID]]="","",VLOOKUP(Table13[[#This Row],[Product ID]],data,2,FALSE))</f>
        <v/>
      </c>
      <c r="C99" s="4" t="str">
        <f>IF(Table13[[#This Row],[Product ID]]="","",VLOOKUP(Table13[[#This Row],[Product ID]],data,3,FALSE))</f>
        <v/>
      </c>
      <c r="D99" s="7" t="str">
        <f>IF(Table13[[#This Row],[Product ID]]="","",VLOOKUP(Table13[[#This Row],[Product ID]],data,4,FALSE))</f>
        <v/>
      </c>
      <c r="E99" s="7"/>
      <c r="F99" s="7" t="str">
        <f>IF(Table13[[#This Row],[Product ID]]="","",PRODUCT(Table13[[#This Row],[Unit ]]*Table13[[#This Row],[Qty]]))</f>
        <v/>
      </c>
      <c r="G99" s="4"/>
    </row>
    <row r="100" spans="1:7" ht="30" customHeight="1" x14ac:dyDescent="0.3">
      <c r="A100" s="4"/>
      <c r="B100" s="4" t="str">
        <f>IF(Table13[[#This Row],[Product ID]]="","",VLOOKUP(Table13[[#This Row],[Product ID]],data,2,FALSE))</f>
        <v/>
      </c>
      <c r="C100" s="4" t="str">
        <f>IF(Table13[[#This Row],[Product ID]]="","",VLOOKUP(Table13[[#This Row],[Product ID]],data,3,FALSE))</f>
        <v/>
      </c>
      <c r="D100" s="7" t="str">
        <f>IF(Table13[[#This Row],[Product ID]]="","",VLOOKUP(Table13[[#This Row],[Product ID]],data,4,FALSE))</f>
        <v/>
      </c>
      <c r="E100" s="7"/>
      <c r="F100" s="7" t="str">
        <f>IF(Table13[[#This Row],[Product ID]]="","",PRODUCT(Table13[[#This Row],[Unit ]]*Table13[[#This Row],[Qty]]))</f>
        <v/>
      </c>
      <c r="G100" s="4"/>
    </row>
    <row r="101" spans="1:7" ht="30" customHeight="1" x14ac:dyDescent="0.3">
      <c r="A101" s="4"/>
      <c r="B101" s="4" t="str">
        <f>IF(Table13[[#This Row],[Product ID]]="","",VLOOKUP(Table13[[#This Row],[Product ID]],data,2,FALSE))</f>
        <v/>
      </c>
      <c r="C101" s="4" t="str">
        <f>IF(Table13[[#This Row],[Product ID]]="","",VLOOKUP(Table13[[#This Row],[Product ID]],data,3,FALSE))</f>
        <v/>
      </c>
      <c r="D101" s="7" t="str">
        <f>IF(Table13[[#This Row],[Product ID]]="","",VLOOKUP(Table13[[#This Row],[Product ID]],data,4,FALSE))</f>
        <v/>
      </c>
      <c r="E101" s="7"/>
      <c r="F101" s="7" t="str">
        <f>IF(Table13[[#This Row],[Product ID]]="","",PRODUCT(Table13[[#This Row],[Unit ]]*Table13[[#This Row],[Qty]]))</f>
        <v/>
      </c>
      <c r="G101" s="4"/>
    </row>
    <row r="102" spans="1:7" ht="30" customHeight="1" x14ac:dyDescent="0.3">
      <c r="A102" s="4"/>
      <c r="B102" s="4" t="str">
        <f>IF(Table13[[#This Row],[Product ID]]="","",VLOOKUP(Table13[[#This Row],[Product ID]],data,2,FALSE))</f>
        <v/>
      </c>
      <c r="C102" s="4" t="str">
        <f>IF(Table13[[#This Row],[Product ID]]="","",VLOOKUP(Table13[[#This Row],[Product ID]],data,3,FALSE))</f>
        <v/>
      </c>
      <c r="D102" s="7" t="str">
        <f>IF(Table13[[#This Row],[Product ID]]="","",VLOOKUP(Table13[[#This Row],[Product ID]],data,4,FALSE))</f>
        <v/>
      </c>
      <c r="E102" s="7"/>
      <c r="F102" s="7" t="str">
        <f>IF(Table13[[#This Row],[Product ID]]="","",PRODUCT(Table13[[#This Row],[Unit ]]*Table13[[#This Row],[Qty]]))</f>
        <v/>
      </c>
      <c r="G102" s="4"/>
    </row>
    <row r="103" spans="1:7" ht="30" customHeight="1" x14ac:dyDescent="0.3">
      <c r="A103" s="4"/>
      <c r="B103" s="4" t="str">
        <f>IF(Table13[[#This Row],[Product ID]]="","",VLOOKUP(Table13[[#This Row],[Product ID]],data,2,FALSE))</f>
        <v/>
      </c>
      <c r="C103" s="4" t="str">
        <f>IF(Table13[[#This Row],[Product ID]]="","",VLOOKUP(Table13[[#This Row],[Product ID]],data,3,FALSE))</f>
        <v/>
      </c>
      <c r="D103" s="7" t="str">
        <f>IF(Table13[[#This Row],[Product ID]]="","",VLOOKUP(Table13[[#This Row],[Product ID]],data,4,FALSE))</f>
        <v/>
      </c>
      <c r="E103" s="7"/>
      <c r="F103" s="7" t="str">
        <f>IF(Table13[[#This Row],[Product ID]]="","",PRODUCT(Table13[[#This Row],[Unit ]]*Table13[[#This Row],[Qty]]))</f>
        <v/>
      </c>
      <c r="G103" s="4"/>
    </row>
    <row r="104" spans="1:7" ht="30" customHeight="1" x14ac:dyDescent="0.3">
      <c r="A104" s="4"/>
      <c r="B104" s="4" t="str">
        <f>IF(Table13[[#This Row],[Product ID]]="","",VLOOKUP(Table13[[#This Row],[Product ID]],data,2,FALSE))</f>
        <v/>
      </c>
      <c r="C104" s="4" t="str">
        <f>IF(Table13[[#This Row],[Product ID]]="","",VLOOKUP(Table13[[#This Row],[Product ID]],data,3,FALSE))</f>
        <v/>
      </c>
      <c r="D104" s="7" t="str">
        <f>IF(Table13[[#This Row],[Product ID]]="","",VLOOKUP(Table13[[#This Row],[Product ID]],data,4,FALSE))</f>
        <v/>
      </c>
      <c r="E104" s="7"/>
      <c r="F104" s="7" t="str">
        <f>IF(Table13[[#This Row],[Product ID]]="","",PRODUCT(Table13[[#This Row],[Unit ]]*Table13[[#This Row],[Qty]]))</f>
        <v/>
      </c>
      <c r="G104" s="4"/>
    </row>
    <row r="105" spans="1:7" ht="30" customHeight="1" x14ac:dyDescent="0.3">
      <c r="A105" s="4"/>
      <c r="B105" s="4" t="str">
        <f>IF(Table13[[#This Row],[Product ID]]="","",VLOOKUP(Table13[[#This Row],[Product ID]],data,2,FALSE))</f>
        <v/>
      </c>
      <c r="C105" s="4" t="str">
        <f>IF(Table13[[#This Row],[Product ID]]="","",VLOOKUP(Table13[[#This Row],[Product ID]],data,3,FALSE))</f>
        <v/>
      </c>
      <c r="D105" s="7" t="str">
        <f>IF(Table13[[#This Row],[Product ID]]="","",VLOOKUP(Table13[[#This Row],[Product ID]],data,4,FALSE))</f>
        <v/>
      </c>
      <c r="E105" s="7"/>
      <c r="F105" s="7" t="str">
        <f>IF(Table13[[#This Row],[Product ID]]="","",PRODUCT(Table13[[#This Row],[Unit ]]*Table13[[#This Row],[Qty]]))</f>
        <v/>
      </c>
      <c r="G105" s="4"/>
    </row>
    <row r="106" spans="1:7" ht="30" customHeight="1" x14ac:dyDescent="0.3">
      <c r="A106" s="4"/>
      <c r="B106" s="4" t="str">
        <f>IF(Table13[[#This Row],[Product ID]]="","",VLOOKUP(Table13[[#This Row],[Product ID]],data,2,FALSE))</f>
        <v/>
      </c>
      <c r="C106" s="4" t="str">
        <f>IF(Table13[[#This Row],[Product ID]]="","",VLOOKUP(Table13[[#This Row],[Product ID]],data,3,FALSE))</f>
        <v/>
      </c>
      <c r="D106" s="7" t="str">
        <f>IF(Table13[[#This Row],[Product ID]]="","",VLOOKUP(Table13[[#This Row],[Product ID]],data,4,FALSE))</f>
        <v/>
      </c>
      <c r="E106" s="7"/>
      <c r="F106" s="7" t="str">
        <f>IF(Table13[[#This Row],[Product ID]]="","",PRODUCT(Table13[[#This Row],[Unit ]]*Table13[[#This Row],[Qty]]))</f>
        <v/>
      </c>
      <c r="G106" s="4"/>
    </row>
    <row r="107" spans="1:7" ht="30" customHeight="1" x14ac:dyDescent="0.3">
      <c r="A107" s="4"/>
      <c r="B107" s="4" t="str">
        <f>IF(Table13[[#This Row],[Product ID]]="","",VLOOKUP(Table13[[#This Row],[Product ID]],data,2,FALSE))</f>
        <v/>
      </c>
      <c r="C107" s="4" t="str">
        <f>IF(Table13[[#This Row],[Product ID]]="","",VLOOKUP(Table13[[#This Row],[Product ID]],data,3,FALSE))</f>
        <v/>
      </c>
      <c r="D107" s="7" t="str">
        <f>IF(Table13[[#This Row],[Product ID]]="","",VLOOKUP(Table13[[#This Row],[Product ID]],data,4,FALSE))</f>
        <v/>
      </c>
      <c r="E107" s="7"/>
      <c r="F107" s="7" t="str">
        <f>IF(Table13[[#This Row],[Product ID]]="","",PRODUCT(Table13[[#This Row],[Unit ]]*Table13[[#This Row],[Qty]]))</f>
        <v/>
      </c>
      <c r="G107" s="4"/>
    </row>
    <row r="108" spans="1:7" ht="30" customHeight="1" x14ac:dyDescent="0.3">
      <c r="A108" s="4"/>
      <c r="B108" s="4" t="str">
        <f>IF(Table13[[#This Row],[Product ID]]="","",VLOOKUP(Table13[[#This Row],[Product ID]],data,2,FALSE))</f>
        <v/>
      </c>
      <c r="C108" s="4" t="str">
        <f>IF(Table13[[#This Row],[Product ID]]="","",VLOOKUP(Table13[[#This Row],[Product ID]],data,3,FALSE))</f>
        <v/>
      </c>
      <c r="D108" s="7" t="str">
        <f>IF(Table13[[#This Row],[Product ID]]="","",VLOOKUP(Table13[[#This Row],[Product ID]],data,4,FALSE))</f>
        <v/>
      </c>
      <c r="E108" s="7"/>
      <c r="F108" s="7" t="str">
        <f>IF(Table13[[#This Row],[Product ID]]="","",PRODUCT(Table13[[#This Row],[Unit ]]*Table13[[#This Row],[Qty]]))</f>
        <v/>
      </c>
      <c r="G108" s="4"/>
    </row>
    <row r="109" spans="1:7" ht="30" customHeight="1" x14ac:dyDescent="0.3">
      <c r="A109" s="4"/>
      <c r="B109" s="4" t="str">
        <f>IF(Table13[[#This Row],[Product ID]]="","",VLOOKUP(Table13[[#This Row],[Product ID]],data,2,FALSE))</f>
        <v/>
      </c>
      <c r="C109" s="4" t="str">
        <f>IF(Table13[[#This Row],[Product ID]]="","",VLOOKUP(Table13[[#This Row],[Product ID]],data,3,FALSE))</f>
        <v/>
      </c>
      <c r="D109" s="7" t="str">
        <f>IF(Table13[[#This Row],[Product ID]]="","",VLOOKUP(Table13[[#This Row],[Product ID]],data,4,FALSE))</f>
        <v/>
      </c>
      <c r="E109" s="7"/>
      <c r="F109" s="7" t="str">
        <f>IF(Table13[[#This Row],[Product ID]]="","",PRODUCT(Table13[[#This Row],[Unit ]]*Table13[[#This Row],[Qty]]))</f>
        <v/>
      </c>
      <c r="G109" s="4"/>
    </row>
    <row r="110" spans="1:7" ht="30" customHeight="1" x14ac:dyDescent="0.3">
      <c r="A110" s="4"/>
      <c r="B110" s="4" t="str">
        <f>IF(Table13[[#This Row],[Product ID]]="","",VLOOKUP(Table13[[#This Row],[Product ID]],data,2,FALSE))</f>
        <v/>
      </c>
      <c r="C110" s="4" t="str">
        <f>IF(Table13[[#This Row],[Product ID]]="","",VLOOKUP(Table13[[#This Row],[Product ID]],data,3,FALSE))</f>
        <v/>
      </c>
      <c r="D110" s="7" t="str">
        <f>IF(Table13[[#This Row],[Product ID]]="","",VLOOKUP(Table13[[#This Row],[Product ID]],data,4,FALSE))</f>
        <v/>
      </c>
      <c r="E110" s="7"/>
      <c r="F110" s="7" t="str">
        <f>IF(Table13[[#This Row],[Product ID]]="","",PRODUCT(Table13[[#This Row],[Unit ]]*Table13[[#This Row],[Qty]]))</f>
        <v/>
      </c>
      <c r="G110" s="4"/>
    </row>
    <row r="111" spans="1:7" ht="30" customHeight="1" x14ac:dyDescent="0.3">
      <c r="A111" s="4"/>
      <c r="B111" s="4" t="str">
        <f>IF(Table13[[#This Row],[Product ID]]="","",VLOOKUP(Table13[[#This Row],[Product ID]],data,2,FALSE))</f>
        <v/>
      </c>
      <c r="C111" s="4" t="str">
        <f>IF(Table13[[#This Row],[Product ID]]="","",VLOOKUP(Table13[[#This Row],[Product ID]],data,3,FALSE))</f>
        <v/>
      </c>
      <c r="D111" s="7" t="str">
        <f>IF(Table13[[#This Row],[Product ID]]="","",VLOOKUP(Table13[[#This Row],[Product ID]],data,4,FALSE))</f>
        <v/>
      </c>
      <c r="E111" s="7"/>
      <c r="F111" s="7" t="str">
        <f>IF(Table13[[#This Row],[Product ID]]="","",PRODUCT(Table13[[#This Row],[Unit ]]*Table13[[#This Row],[Qty]]))</f>
        <v/>
      </c>
      <c r="G111" s="4"/>
    </row>
    <row r="112" spans="1:7" ht="30" customHeight="1" x14ac:dyDescent="0.3">
      <c r="A112" s="4"/>
      <c r="B112" s="4" t="str">
        <f>IF(Table13[[#This Row],[Product ID]]="","",VLOOKUP(Table13[[#This Row],[Product ID]],data,2,FALSE))</f>
        <v/>
      </c>
      <c r="C112" s="4" t="str">
        <f>IF(Table13[[#This Row],[Product ID]]="","",VLOOKUP(Table13[[#This Row],[Product ID]],data,3,FALSE))</f>
        <v/>
      </c>
      <c r="D112" s="7" t="str">
        <f>IF(Table13[[#This Row],[Product ID]]="","",VLOOKUP(Table13[[#This Row],[Product ID]],data,4,FALSE))</f>
        <v/>
      </c>
      <c r="E112" s="7"/>
      <c r="F112" s="7" t="str">
        <f>IF(Table13[[#This Row],[Product ID]]="","",PRODUCT(Table13[[#This Row],[Unit ]]*Table13[[#This Row],[Qty]]))</f>
        <v/>
      </c>
      <c r="G112" s="4"/>
    </row>
    <row r="113" spans="1:7" ht="30" customHeight="1" x14ac:dyDescent="0.3">
      <c r="A113" s="4"/>
      <c r="B113" s="4" t="str">
        <f>IF(Table13[[#This Row],[Product ID]]="","",VLOOKUP(Table13[[#This Row],[Product ID]],data,2,FALSE))</f>
        <v/>
      </c>
      <c r="C113" s="4" t="str">
        <f>IF(Table13[[#This Row],[Product ID]]="","",VLOOKUP(Table13[[#This Row],[Product ID]],data,3,FALSE))</f>
        <v/>
      </c>
      <c r="D113" s="7" t="str">
        <f>IF(Table13[[#This Row],[Product ID]]="","",VLOOKUP(Table13[[#This Row],[Product ID]],data,4,FALSE))</f>
        <v/>
      </c>
      <c r="E113" s="7"/>
      <c r="F113" s="7" t="str">
        <f>IF(Table13[[#This Row],[Product ID]]="","",PRODUCT(Table13[[#This Row],[Unit ]]*Table13[[#This Row],[Qty]]))</f>
        <v/>
      </c>
      <c r="G113" s="4"/>
    </row>
    <row r="114" spans="1:7" ht="30" customHeight="1" x14ac:dyDescent="0.3">
      <c r="A114" s="4"/>
      <c r="B114" s="4" t="str">
        <f>IF(Table13[[#This Row],[Product ID]]="","",VLOOKUP(Table13[[#This Row],[Product ID]],data,2,FALSE))</f>
        <v/>
      </c>
      <c r="C114" s="4" t="str">
        <f>IF(Table13[[#This Row],[Product ID]]="","",VLOOKUP(Table13[[#This Row],[Product ID]],data,3,FALSE))</f>
        <v/>
      </c>
      <c r="D114" s="7" t="str">
        <f>IF(Table13[[#This Row],[Product ID]]="","",VLOOKUP(Table13[[#This Row],[Product ID]],data,4,FALSE))</f>
        <v/>
      </c>
      <c r="E114" s="7"/>
      <c r="F114" s="7" t="str">
        <f>IF(Table13[[#This Row],[Product ID]]="","",PRODUCT(Table13[[#This Row],[Unit ]]*Table13[[#This Row],[Qty]]))</f>
        <v/>
      </c>
      <c r="G114" s="4"/>
    </row>
    <row r="115" spans="1:7" ht="30" customHeight="1" x14ac:dyDescent="0.3">
      <c r="A115" s="4"/>
      <c r="B115" s="4" t="str">
        <f>IF(Table13[[#This Row],[Product ID]]="","",VLOOKUP(Table13[[#This Row],[Product ID]],data,2,FALSE))</f>
        <v/>
      </c>
      <c r="C115" s="4" t="str">
        <f>IF(Table13[[#This Row],[Product ID]]="","",VLOOKUP(Table13[[#This Row],[Product ID]],data,3,FALSE))</f>
        <v/>
      </c>
      <c r="D115" s="7" t="str">
        <f>IF(Table13[[#This Row],[Product ID]]="","",VLOOKUP(Table13[[#This Row],[Product ID]],data,4,FALSE))</f>
        <v/>
      </c>
      <c r="E115" s="7"/>
      <c r="F115" s="7" t="str">
        <f>IF(Table13[[#This Row],[Product ID]]="","",PRODUCT(Table13[[#This Row],[Unit ]]*Table13[[#This Row],[Qty]]))</f>
        <v/>
      </c>
      <c r="G115" s="4"/>
    </row>
    <row r="116" spans="1:7" ht="30" customHeight="1" x14ac:dyDescent="0.3">
      <c r="A116" s="4"/>
      <c r="B116" s="4" t="str">
        <f>IF(Table13[[#This Row],[Product ID]]="","",VLOOKUP(Table13[[#This Row],[Product ID]],data,2,FALSE))</f>
        <v/>
      </c>
      <c r="C116" s="4" t="str">
        <f>IF(Table13[[#This Row],[Product ID]]="","",VLOOKUP(Table13[[#This Row],[Product ID]],data,3,FALSE))</f>
        <v/>
      </c>
      <c r="D116" s="7" t="str">
        <f>IF(Table13[[#This Row],[Product ID]]="","",VLOOKUP(Table13[[#This Row],[Product ID]],data,4,FALSE))</f>
        <v/>
      </c>
      <c r="E116" s="7"/>
      <c r="F116" s="7" t="str">
        <f>IF(Table13[[#This Row],[Product ID]]="","",PRODUCT(Table13[[#This Row],[Unit ]]*Table13[[#This Row],[Qty]]))</f>
        <v/>
      </c>
      <c r="G116" s="4"/>
    </row>
    <row r="117" spans="1:7" ht="30" customHeight="1" x14ac:dyDescent="0.3">
      <c r="A117" s="4"/>
      <c r="B117" s="4" t="str">
        <f>IF(Table13[[#This Row],[Product ID]]="","",VLOOKUP(Table13[[#This Row],[Product ID]],data,2,FALSE))</f>
        <v/>
      </c>
      <c r="C117" s="4" t="str">
        <f>IF(Table13[[#This Row],[Product ID]]="","",VLOOKUP(Table13[[#This Row],[Product ID]],data,3,FALSE))</f>
        <v/>
      </c>
      <c r="D117" s="7" t="str">
        <f>IF(Table13[[#This Row],[Product ID]]="","",VLOOKUP(Table13[[#This Row],[Product ID]],data,4,FALSE))</f>
        <v/>
      </c>
      <c r="E117" s="7"/>
      <c r="F117" s="7" t="str">
        <f>IF(Table13[[#This Row],[Product ID]]="","",PRODUCT(Table13[[#This Row],[Unit ]]*Table13[[#This Row],[Qty]]))</f>
        <v/>
      </c>
      <c r="G117" s="4"/>
    </row>
    <row r="118" spans="1:7" ht="30" customHeight="1" x14ac:dyDescent="0.3">
      <c r="A118" s="4"/>
      <c r="B118" s="4" t="str">
        <f>IF(Table13[[#This Row],[Product ID]]="","",VLOOKUP(Table13[[#This Row],[Product ID]],data,2,FALSE))</f>
        <v/>
      </c>
      <c r="C118" s="4" t="str">
        <f>IF(Table13[[#This Row],[Product ID]]="","",VLOOKUP(Table13[[#This Row],[Product ID]],data,3,FALSE))</f>
        <v/>
      </c>
      <c r="D118" s="7" t="str">
        <f>IF(Table13[[#This Row],[Product ID]]="","",VLOOKUP(Table13[[#This Row],[Product ID]],data,4,FALSE))</f>
        <v/>
      </c>
      <c r="E118" s="7"/>
      <c r="F118" s="7" t="str">
        <f>IF(Table13[[#This Row],[Product ID]]="","",PRODUCT(Table13[[#This Row],[Unit ]]*Table13[[#This Row],[Qty]]))</f>
        <v/>
      </c>
      <c r="G118" s="4"/>
    </row>
    <row r="119" spans="1:7" ht="30" customHeight="1" x14ac:dyDescent="0.3">
      <c r="A119" s="4"/>
      <c r="B119" s="4" t="str">
        <f>IF(Table13[[#This Row],[Product ID]]="","",VLOOKUP(Table13[[#This Row],[Product ID]],data,2,FALSE))</f>
        <v/>
      </c>
      <c r="C119" s="4" t="str">
        <f>IF(Table13[[#This Row],[Product ID]]="","",VLOOKUP(Table13[[#This Row],[Product ID]],data,3,FALSE))</f>
        <v/>
      </c>
      <c r="D119" s="7" t="str">
        <f>IF(Table13[[#This Row],[Product ID]]="","",VLOOKUP(Table13[[#This Row],[Product ID]],data,4,FALSE))</f>
        <v/>
      </c>
      <c r="E119" s="7"/>
      <c r="F119" s="7" t="str">
        <f>IF(Table13[[#This Row],[Product ID]]="","",PRODUCT(Table13[[#This Row],[Unit ]]*Table13[[#This Row],[Qty]]))</f>
        <v/>
      </c>
      <c r="G119" s="4"/>
    </row>
    <row r="120" spans="1:7" ht="30" customHeight="1" x14ac:dyDescent="0.3">
      <c r="A120" s="4"/>
      <c r="B120" s="4" t="str">
        <f>IF(Table13[[#This Row],[Product ID]]="","",VLOOKUP(Table13[[#This Row],[Product ID]],data,2,FALSE))</f>
        <v/>
      </c>
      <c r="C120" s="4" t="str">
        <f>IF(Table13[[#This Row],[Product ID]]="","",VLOOKUP(Table13[[#This Row],[Product ID]],data,3,FALSE))</f>
        <v/>
      </c>
      <c r="D120" s="7" t="str">
        <f>IF(Table13[[#This Row],[Product ID]]="","",VLOOKUP(Table13[[#This Row],[Product ID]],data,4,FALSE))</f>
        <v/>
      </c>
      <c r="E120" s="7"/>
      <c r="F120" s="7" t="str">
        <f>IF(Table13[[#This Row],[Product ID]]="","",PRODUCT(Table13[[#This Row],[Unit ]]*Table13[[#This Row],[Qty]]))</f>
        <v/>
      </c>
      <c r="G120" s="4"/>
    </row>
    <row r="121" spans="1:7" ht="30" customHeight="1" x14ac:dyDescent="0.3">
      <c r="A121" s="4"/>
      <c r="B121" s="4" t="str">
        <f>IF(Table13[[#This Row],[Product ID]]="","",VLOOKUP(Table13[[#This Row],[Product ID]],data,2,FALSE))</f>
        <v/>
      </c>
      <c r="C121" s="4" t="str">
        <f>IF(Table13[[#This Row],[Product ID]]="","",VLOOKUP(Table13[[#This Row],[Product ID]],data,3,FALSE))</f>
        <v/>
      </c>
      <c r="D121" s="7" t="str">
        <f>IF(Table13[[#This Row],[Product ID]]="","",VLOOKUP(Table13[[#This Row],[Product ID]],data,4,FALSE))</f>
        <v/>
      </c>
      <c r="E121" s="7"/>
      <c r="F121" s="7" t="str">
        <f>IF(Table13[[#This Row],[Product ID]]="","",PRODUCT(Table13[[#This Row],[Unit ]]*Table13[[#This Row],[Qty]]))</f>
        <v/>
      </c>
      <c r="G121" s="4"/>
    </row>
    <row r="122" spans="1:7" ht="30" customHeight="1" x14ac:dyDescent="0.3">
      <c r="A122" s="4"/>
      <c r="B122" s="4" t="str">
        <f>IF(Table13[[#This Row],[Product ID]]="","",VLOOKUP(Table13[[#This Row],[Product ID]],data,2,FALSE))</f>
        <v/>
      </c>
      <c r="C122" s="4" t="str">
        <f>IF(Table13[[#This Row],[Product ID]]="","",VLOOKUP(Table13[[#This Row],[Product ID]],data,3,FALSE))</f>
        <v/>
      </c>
      <c r="D122" s="7" t="str">
        <f>IF(Table13[[#This Row],[Product ID]]="","",VLOOKUP(Table13[[#This Row],[Product ID]],data,4,FALSE))</f>
        <v/>
      </c>
      <c r="E122" s="7"/>
      <c r="F122" s="7" t="str">
        <f>IF(Table13[[#This Row],[Product ID]]="","",PRODUCT(Table13[[#This Row],[Unit ]]*Table13[[#This Row],[Qty]]))</f>
        <v/>
      </c>
      <c r="G122" s="4"/>
    </row>
    <row r="123" spans="1:7" ht="30" customHeight="1" x14ac:dyDescent="0.3">
      <c r="A123" s="4"/>
      <c r="B123" s="4" t="str">
        <f>IF(Table13[[#This Row],[Product ID]]="","",VLOOKUP(Table13[[#This Row],[Product ID]],data,2,FALSE))</f>
        <v/>
      </c>
      <c r="C123" s="4" t="str">
        <f>IF(Table13[[#This Row],[Product ID]]="","",VLOOKUP(Table13[[#This Row],[Product ID]],data,3,FALSE))</f>
        <v/>
      </c>
      <c r="D123" s="7" t="str">
        <f>IF(Table13[[#This Row],[Product ID]]="","",VLOOKUP(Table13[[#This Row],[Product ID]],data,4,FALSE))</f>
        <v/>
      </c>
      <c r="E123" s="7"/>
      <c r="F123" s="7" t="str">
        <f>IF(Table13[[#This Row],[Product ID]]="","",PRODUCT(Table13[[#This Row],[Unit ]]*Table13[[#This Row],[Qty]]))</f>
        <v/>
      </c>
      <c r="G123" s="4"/>
    </row>
    <row r="124" spans="1:7" ht="30" customHeight="1" x14ac:dyDescent="0.3">
      <c r="A124" s="4"/>
      <c r="B124" s="4" t="str">
        <f>IF(Table13[[#This Row],[Product ID]]="","",VLOOKUP(Table13[[#This Row],[Product ID]],data,2,FALSE))</f>
        <v/>
      </c>
      <c r="C124" s="4" t="str">
        <f>IF(Table13[[#This Row],[Product ID]]="","",VLOOKUP(Table13[[#This Row],[Product ID]],data,3,FALSE))</f>
        <v/>
      </c>
      <c r="D124" s="7" t="str">
        <f>IF(Table13[[#This Row],[Product ID]]="","",VLOOKUP(Table13[[#This Row],[Product ID]],data,4,FALSE))</f>
        <v/>
      </c>
      <c r="E124" s="7"/>
      <c r="F124" s="7" t="str">
        <f>IF(Table13[[#This Row],[Product ID]]="","",PRODUCT(Table13[[#This Row],[Unit ]]*Table13[[#This Row],[Qty]]))</f>
        <v/>
      </c>
      <c r="G124" s="4"/>
    </row>
    <row r="125" spans="1:7" ht="30" customHeight="1" x14ac:dyDescent="0.3">
      <c r="A125" s="4"/>
      <c r="B125" s="4" t="str">
        <f>IF(Table13[[#This Row],[Product ID]]="","",VLOOKUP(Table13[[#This Row],[Product ID]],data,2,FALSE))</f>
        <v/>
      </c>
      <c r="C125" s="4" t="str">
        <f>IF(Table13[[#This Row],[Product ID]]="","",VLOOKUP(Table13[[#This Row],[Product ID]],data,3,FALSE))</f>
        <v/>
      </c>
      <c r="D125" s="7" t="str">
        <f>IF(Table13[[#This Row],[Product ID]]="","",VLOOKUP(Table13[[#This Row],[Product ID]],data,4,FALSE))</f>
        <v/>
      </c>
      <c r="E125" s="7"/>
      <c r="F125" s="7" t="str">
        <f>IF(Table13[[#This Row],[Product ID]]="","",PRODUCT(Table13[[#This Row],[Unit ]]*Table13[[#This Row],[Qty]]))</f>
        <v/>
      </c>
      <c r="G125" s="4"/>
    </row>
    <row r="126" spans="1:7" ht="30" customHeight="1" x14ac:dyDescent="0.3">
      <c r="A126" s="4"/>
      <c r="B126" s="4" t="str">
        <f>IF(Table13[[#This Row],[Product ID]]="","",VLOOKUP(Table13[[#This Row],[Product ID]],data,2,FALSE))</f>
        <v/>
      </c>
      <c r="C126" s="4" t="str">
        <f>IF(Table13[[#This Row],[Product ID]]="","",VLOOKUP(Table13[[#This Row],[Product ID]],data,3,FALSE))</f>
        <v/>
      </c>
      <c r="D126" s="7" t="str">
        <f>IF(Table13[[#This Row],[Product ID]]="","",VLOOKUP(Table13[[#This Row],[Product ID]],data,4,FALSE))</f>
        <v/>
      </c>
      <c r="E126" s="7"/>
      <c r="F126" s="7" t="str">
        <f>IF(Table13[[#This Row],[Product ID]]="","",PRODUCT(Table13[[#This Row],[Unit ]]*Table13[[#This Row],[Qty]]))</f>
        <v/>
      </c>
      <c r="G126" s="4"/>
    </row>
    <row r="127" spans="1:7" ht="30" customHeight="1" x14ac:dyDescent="0.3">
      <c r="A127" s="4"/>
      <c r="B127" s="4" t="str">
        <f>IF(Table13[[#This Row],[Product ID]]="","",VLOOKUP(Table13[[#This Row],[Product ID]],data,2,FALSE))</f>
        <v/>
      </c>
      <c r="C127" s="4" t="str">
        <f>IF(Table13[[#This Row],[Product ID]]="","",VLOOKUP(Table13[[#This Row],[Product ID]],data,3,FALSE))</f>
        <v/>
      </c>
      <c r="D127" s="7" t="str">
        <f>IF(Table13[[#This Row],[Product ID]]="","",VLOOKUP(Table13[[#This Row],[Product ID]],data,4,FALSE))</f>
        <v/>
      </c>
      <c r="E127" s="7"/>
      <c r="F127" s="7" t="str">
        <f>IF(Table13[[#This Row],[Product ID]]="","",PRODUCT(Table13[[#This Row],[Unit ]]*Table13[[#This Row],[Qty]]))</f>
        <v/>
      </c>
      <c r="G127" s="4"/>
    </row>
    <row r="128" spans="1:7" ht="30" customHeight="1" x14ac:dyDescent="0.3">
      <c r="A128" s="4"/>
      <c r="B128" s="4" t="str">
        <f>IF(Table13[[#This Row],[Product ID]]="","",VLOOKUP(Table13[[#This Row],[Product ID]],data,2,FALSE))</f>
        <v/>
      </c>
      <c r="C128" s="4" t="str">
        <f>IF(Table13[[#This Row],[Product ID]]="","",VLOOKUP(Table13[[#This Row],[Product ID]],data,3,FALSE))</f>
        <v/>
      </c>
      <c r="D128" s="7" t="str">
        <f>IF(Table13[[#This Row],[Product ID]]="","",VLOOKUP(Table13[[#This Row],[Product ID]],data,4,FALSE))</f>
        <v/>
      </c>
      <c r="E128" s="7"/>
      <c r="F128" s="7" t="str">
        <f>IF(Table13[[#This Row],[Product ID]]="","",PRODUCT(Table13[[#This Row],[Unit ]]*Table13[[#This Row],[Qty]]))</f>
        <v/>
      </c>
      <c r="G128" s="4"/>
    </row>
    <row r="129" spans="1:7" ht="30" customHeight="1" x14ac:dyDescent="0.3">
      <c r="A129" s="4"/>
      <c r="B129" s="4" t="str">
        <f>IF(Table13[[#This Row],[Product ID]]="","",VLOOKUP(Table13[[#This Row],[Product ID]],data,2,FALSE))</f>
        <v/>
      </c>
      <c r="C129" s="4" t="str">
        <f>IF(Table13[[#This Row],[Product ID]]="","",VLOOKUP(Table13[[#This Row],[Product ID]],data,3,FALSE))</f>
        <v/>
      </c>
      <c r="D129" s="7" t="str">
        <f>IF(Table13[[#This Row],[Product ID]]="","",VLOOKUP(Table13[[#This Row],[Product ID]],data,4,FALSE))</f>
        <v/>
      </c>
      <c r="E129" s="7"/>
      <c r="F129" s="7" t="str">
        <f>IF(Table13[[#This Row],[Product ID]]="","",PRODUCT(Table13[[#This Row],[Unit ]]*Table13[[#This Row],[Qty]]))</f>
        <v/>
      </c>
      <c r="G129" s="4"/>
    </row>
    <row r="130" spans="1:7" ht="30" customHeight="1" x14ac:dyDescent="0.3">
      <c r="A130" s="4"/>
      <c r="B130" s="4" t="str">
        <f>IF(Table13[[#This Row],[Product ID]]="","",VLOOKUP(Table13[[#This Row],[Product ID]],data,2,FALSE))</f>
        <v/>
      </c>
      <c r="C130" s="4" t="str">
        <f>IF(Table13[[#This Row],[Product ID]]="","",VLOOKUP(Table13[[#This Row],[Product ID]],data,3,FALSE))</f>
        <v/>
      </c>
      <c r="D130" s="7" t="str">
        <f>IF(Table13[[#This Row],[Product ID]]="","",VLOOKUP(Table13[[#This Row],[Product ID]],data,4,FALSE))</f>
        <v/>
      </c>
      <c r="E130" s="7"/>
      <c r="F130" s="7" t="str">
        <f>IF(Table13[[#This Row],[Product ID]]="","",PRODUCT(Table13[[#This Row],[Unit ]]*Table13[[#This Row],[Qty]]))</f>
        <v/>
      </c>
      <c r="G130" s="4"/>
    </row>
    <row r="131" spans="1:7" ht="30" customHeight="1" x14ac:dyDescent="0.3">
      <c r="A131" s="4"/>
      <c r="B131" s="4" t="str">
        <f>IF(Table13[[#This Row],[Product ID]]="","",VLOOKUP(Table13[[#This Row],[Product ID]],data,2,FALSE))</f>
        <v/>
      </c>
      <c r="C131" s="4" t="str">
        <f>IF(Table13[[#This Row],[Product ID]]="","",VLOOKUP(Table13[[#This Row],[Product ID]],data,3,FALSE))</f>
        <v/>
      </c>
      <c r="D131" s="7" t="str">
        <f>IF(Table13[[#This Row],[Product ID]]="","",VLOOKUP(Table13[[#This Row],[Product ID]],data,4,FALSE))</f>
        <v/>
      </c>
      <c r="E131" s="7"/>
      <c r="F131" s="7" t="str">
        <f>IF(Table13[[#This Row],[Product ID]]="","",PRODUCT(Table13[[#This Row],[Unit ]]*Table13[[#This Row],[Qty]]))</f>
        <v/>
      </c>
      <c r="G131" s="4"/>
    </row>
    <row r="132" spans="1:7" ht="30" customHeight="1" x14ac:dyDescent="0.3">
      <c r="A132" s="4"/>
      <c r="B132" s="4" t="str">
        <f>IF(Table13[[#This Row],[Product ID]]="","",VLOOKUP(Table13[[#This Row],[Product ID]],data,2,FALSE))</f>
        <v/>
      </c>
      <c r="C132" s="4" t="str">
        <f>IF(Table13[[#This Row],[Product ID]]="","",VLOOKUP(Table13[[#This Row],[Product ID]],data,3,FALSE))</f>
        <v/>
      </c>
      <c r="D132" s="7" t="str">
        <f>IF(Table13[[#This Row],[Product ID]]="","",VLOOKUP(Table13[[#This Row],[Product ID]],data,4,FALSE))</f>
        <v/>
      </c>
      <c r="E132" s="7"/>
      <c r="F132" s="7" t="str">
        <f>IF(Table13[[#This Row],[Product ID]]="","",PRODUCT(Table13[[#This Row],[Unit ]]*Table13[[#This Row],[Qty]]))</f>
        <v/>
      </c>
      <c r="G132" s="4"/>
    </row>
    <row r="133" spans="1:7" ht="30" customHeight="1" x14ac:dyDescent="0.3">
      <c r="A133" s="4"/>
      <c r="B133" s="4" t="str">
        <f>IF(Table13[[#This Row],[Product ID]]="","",VLOOKUP(Table13[[#This Row],[Product ID]],data,2,FALSE))</f>
        <v/>
      </c>
      <c r="C133" s="4" t="str">
        <f>IF(Table13[[#This Row],[Product ID]]="","",VLOOKUP(Table13[[#This Row],[Product ID]],data,3,FALSE))</f>
        <v/>
      </c>
      <c r="D133" s="7" t="str">
        <f>IF(Table13[[#This Row],[Product ID]]="","",VLOOKUP(Table13[[#This Row],[Product ID]],data,4,FALSE))</f>
        <v/>
      </c>
      <c r="E133" s="7"/>
      <c r="F133" s="7" t="str">
        <f>IF(Table13[[#This Row],[Product ID]]="","",PRODUCT(Table13[[#This Row],[Unit ]]*Table13[[#This Row],[Qty]]))</f>
        <v/>
      </c>
      <c r="G133" s="4"/>
    </row>
    <row r="134" spans="1:7" ht="30" customHeight="1" x14ac:dyDescent="0.3">
      <c r="A134" s="4"/>
      <c r="B134" s="4" t="str">
        <f>IF(Table13[[#This Row],[Product ID]]="","",VLOOKUP(Table13[[#This Row],[Product ID]],data,2,FALSE))</f>
        <v/>
      </c>
      <c r="C134" s="4" t="str">
        <f>IF(Table13[[#This Row],[Product ID]]="","",VLOOKUP(Table13[[#This Row],[Product ID]],data,3,FALSE))</f>
        <v/>
      </c>
      <c r="D134" s="7" t="str">
        <f>IF(Table13[[#This Row],[Product ID]]="","",VLOOKUP(Table13[[#This Row],[Product ID]],data,4,FALSE))</f>
        <v/>
      </c>
      <c r="E134" s="7"/>
      <c r="F134" s="7" t="str">
        <f>IF(Table13[[#This Row],[Product ID]]="","",PRODUCT(Table13[[#This Row],[Unit ]]*Table13[[#This Row],[Qty]]))</f>
        <v/>
      </c>
      <c r="G134" s="4"/>
    </row>
    <row r="135" spans="1:7" ht="30" customHeight="1" x14ac:dyDescent="0.3">
      <c r="A135" s="4"/>
      <c r="B135" s="4" t="str">
        <f>IF(Table13[[#This Row],[Product ID]]="","",VLOOKUP(Table13[[#This Row],[Product ID]],data,2,FALSE))</f>
        <v/>
      </c>
      <c r="C135" s="4" t="str">
        <f>IF(Table13[[#This Row],[Product ID]]="","",VLOOKUP(Table13[[#This Row],[Product ID]],data,3,FALSE))</f>
        <v/>
      </c>
      <c r="D135" s="7" t="str">
        <f>IF(Table13[[#This Row],[Product ID]]="","",VLOOKUP(Table13[[#This Row],[Product ID]],data,4,FALSE))</f>
        <v/>
      </c>
      <c r="E135" s="7"/>
      <c r="F135" s="7" t="str">
        <f>IF(Table13[[#This Row],[Product ID]]="","",PRODUCT(Table13[[#This Row],[Unit ]]*Table13[[#This Row],[Qty]]))</f>
        <v/>
      </c>
      <c r="G135" s="4"/>
    </row>
    <row r="136" spans="1:7" ht="30" customHeight="1" x14ac:dyDescent="0.3">
      <c r="A136" s="4"/>
      <c r="B136" s="4" t="str">
        <f>IF(Table13[[#This Row],[Product ID]]="","",VLOOKUP(Table13[[#This Row],[Product ID]],data,2,FALSE))</f>
        <v/>
      </c>
      <c r="C136" s="4" t="str">
        <f>IF(Table13[[#This Row],[Product ID]]="","",VLOOKUP(Table13[[#This Row],[Product ID]],data,3,FALSE))</f>
        <v/>
      </c>
      <c r="D136" s="7" t="str">
        <f>IF(Table13[[#This Row],[Product ID]]="","",VLOOKUP(Table13[[#This Row],[Product ID]],data,4,FALSE))</f>
        <v/>
      </c>
      <c r="E136" s="7"/>
      <c r="F136" s="7" t="str">
        <f>IF(Table13[[#This Row],[Product ID]]="","",PRODUCT(Table13[[#This Row],[Unit ]]*Table13[[#This Row],[Qty]]))</f>
        <v/>
      </c>
      <c r="G136" s="4"/>
    </row>
    <row r="137" spans="1:7" ht="30" customHeight="1" x14ac:dyDescent="0.3">
      <c r="A137" s="4"/>
      <c r="B137" s="4" t="str">
        <f>IF(Table13[[#This Row],[Product ID]]="","",VLOOKUP(Table13[[#This Row],[Product ID]],data,2,FALSE))</f>
        <v/>
      </c>
      <c r="C137" s="4" t="str">
        <f>IF(Table13[[#This Row],[Product ID]]="","",VLOOKUP(Table13[[#This Row],[Product ID]],data,3,FALSE))</f>
        <v/>
      </c>
      <c r="D137" s="7" t="str">
        <f>IF(Table13[[#This Row],[Product ID]]="","",VLOOKUP(Table13[[#This Row],[Product ID]],data,4,FALSE))</f>
        <v/>
      </c>
      <c r="E137" s="7"/>
      <c r="F137" s="7" t="str">
        <f>IF(Table13[[#This Row],[Product ID]]="","",PRODUCT(Table13[[#This Row],[Unit ]]*Table13[[#This Row],[Qty]]))</f>
        <v/>
      </c>
      <c r="G137" s="4"/>
    </row>
    <row r="138" spans="1:7" ht="30" customHeight="1" x14ac:dyDescent="0.3">
      <c r="A138" s="4"/>
      <c r="B138" s="4" t="str">
        <f>IF(Table13[[#This Row],[Product ID]]="","",VLOOKUP(Table13[[#This Row],[Product ID]],data,2,FALSE))</f>
        <v/>
      </c>
      <c r="C138" s="4" t="str">
        <f>IF(Table13[[#This Row],[Product ID]]="","",VLOOKUP(Table13[[#This Row],[Product ID]],data,3,FALSE))</f>
        <v/>
      </c>
      <c r="D138" s="7" t="str">
        <f>IF(Table13[[#This Row],[Product ID]]="","",VLOOKUP(Table13[[#This Row],[Product ID]],data,4,FALSE))</f>
        <v/>
      </c>
      <c r="E138" s="7"/>
      <c r="F138" s="7" t="str">
        <f>IF(Table13[[#This Row],[Product ID]]="","",PRODUCT(Table13[[#This Row],[Unit ]]*Table13[[#This Row],[Qty]]))</f>
        <v/>
      </c>
      <c r="G138" s="4"/>
    </row>
    <row r="139" spans="1:7" ht="30" customHeight="1" x14ac:dyDescent="0.3">
      <c r="A139" s="4"/>
      <c r="B139" s="4" t="str">
        <f>IF(Table13[[#This Row],[Product ID]]="","",VLOOKUP(Table13[[#This Row],[Product ID]],data,2,FALSE))</f>
        <v/>
      </c>
      <c r="C139" s="4" t="str">
        <f>IF(Table13[[#This Row],[Product ID]]="","",VLOOKUP(Table13[[#This Row],[Product ID]],data,3,FALSE))</f>
        <v/>
      </c>
      <c r="D139" s="7" t="str">
        <f>IF(Table13[[#This Row],[Product ID]]="","",VLOOKUP(Table13[[#This Row],[Product ID]],data,4,FALSE))</f>
        <v/>
      </c>
      <c r="E139" s="7"/>
      <c r="F139" s="7" t="str">
        <f>IF(Table13[[#This Row],[Product ID]]="","",PRODUCT(Table13[[#This Row],[Unit ]]*Table13[[#This Row],[Qty]]))</f>
        <v/>
      </c>
      <c r="G139" s="4"/>
    </row>
    <row r="140" spans="1:7" ht="30" customHeight="1" x14ac:dyDescent="0.3">
      <c r="A140" s="4"/>
      <c r="B140" s="4" t="str">
        <f>IF(Table13[[#This Row],[Product ID]]="","",VLOOKUP(Table13[[#This Row],[Product ID]],data,2,FALSE))</f>
        <v/>
      </c>
      <c r="C140" s="4" t="str">
        <f>IF(Table13[[#This Row],[Product ID]]="","",VLOOKUP(Table13[[#This Row],[Product ID]],data,3,FALSE))</f>
        <v/>
      </c>
      <c r="D140" s="7" t="str">
        <f>IF(Table13[[#This Row],[Product ID]]="","",VLOOKUP(Table13[[#This Row],[Product ID]],data,4,FALSE))</f>
        <v/>
      </c>
      <c r="E140" s="7"/>
      <c r="F140" s="7" t="str">
        <f>IF(Table13[[#This Row],[Product ID]]="","",PRODUCT(Table13[[#This Row],[Unit ]]*Table13[[#This Row],[Qty]]))</f>
        <v/>
      </c>
      <c r="G140" s="4"/>
    </row>
    <row r="141" spans="1:7" ht="30" customHeight="1" x14ac:dyDescent="0.3">
      <c r="A141" s="4"/>
      <c r="B141" s="4" t="str">
        <f>IF(Table13[[#This Row],[Product ID]]="","",VLOOKUP(Table13[[#This Row],[Product ID]],data,2,FALSE))</f>
        <v/>
      </c>
      <c r="C141" s="4" t="str">
        <f>IF(Table13[[#This Row],[Product ID]]="","",VLOOKUP(Table13[[#This Row],[Product ID]],data,3,FALSE))</f>
        <v/>
      </c>
      <c r="D141" s="7" t="str">
        <f>IF(Table13[[#This Row],[Product ID]]="","",VLOOKUP(Table13[[#This Row],[Product ID]],data,4,FALSE))</f>
        <v/>
      </c>
      <c r="E141" s="7"/>
      <c r="F141" s="7" t="str">
        <f>IF(Table13[[#This Row],[Product ID]]="","",PRODUCT(Table13[[#This Row],[Unit ]]*Table13[[#This Row],[Qty]]))</f>
        <v/>
      </c>
      <c r="G141" s="4"/>
    </row>
    <row r="142" spans="1:7" ht="30" customHeight="1" x14ac:dyDescent="0.3">
      <c r="A142" s="4"/>
      <c r="B142" s="4" t="str">
        <f>IF(Table13[[#This Row],[Product ID]]="","",VLOOKUP(Table13[[#This Row],[Product ID]],data,2,FALSE))</f>
        <v/>
      </c>
      <c r="C142" s="4" t="str">
        <f>IF(Table13[[#This Row],[Product ID]]="","",VLOOKUP(Table13[[#This Row],[Product ID]],data,3,FALSE))</f>
        <v/>
      </c>
      <c r="D142" s="7" t="str">
        <f>IF(Table13[[#This Row],[Product ID]]="","",VLOOKUP(Table13[[#This Row],[Product ID]],data,4,FALSE))</f>
        <v/>
      </c>
      <c r="E142" s="7"/>
      <c r="F142" s="7" t="str">
        <f>IF(Table13[[#This Row],[Product ID]]="","",PRODUCT(Table13[[#This Row],[Unit ]]*Table13[[#This Row],[Qty]]))</f>
        <v/>
      </c>
      <c r="G142" s="4"/>
    </row>
    <row r="143" spans="1:7" ht="30" customHeight="1" x14ac:dyDescent="0.3">
      <c r="A143" s="4"/>
      <c r="B143" s="4" t="str">
        <f>IF(Table13[[#This Row],[Product ID]]="","",VLOOKUP(Table13[[#This Row],[Product ID]],data,2,FALSE))</f>
        <v/>
      </c>
      <c r="C143" s="4" t="str">
        <f>IF(Table13[[#This Row],[Product ID]]="","",VLOOKUP(Table13[[#This Row],[Product ID]],data,3,FALSE))</f>
        <v/>
      </c>
      <c r="D143" s="7" t="str">
        <f>IF(Table13[[#This Row],[Product ID]]="","",VLOOKUP(Table13[[#This Row],[Product ID]],data,4,FALSE))</f>
        <v/>
      </c>
      <c r="E143" s="7"/>
      <c r="F143" s="7" t="str">
        <f>IF(Table13[[#This Row],[Product ID]]="","",PRODUCT(Table13[[#This Row],[Unit ]]*Table13[[#This Row],[Qty]]))</f>
        <v/>
      </c>
      <c r="G143" s="4"/>
    </row>
    <row r="144" spans="1:7" ht="30" customHeight="1" x14ac:dyDescent="0.3">
      <c r="A144" s="4"/>
      <c r="B144" s="4" t="str">
        <f>IF(Table13[[#This Row],[Product ID]]="","",VLOOKUP(Table13[[#This Row],[Product ID]],data,2,FALSE))</f>
        <v/>
      </c>
      <c r="C144" s="4" t="str">
        <f>IF(Table13[[#This Row],[Product ID]]="","",VLOOKUP(Table13[[#This Row],[Product ID]],data,3,FALSE))</f>
        <v/>
      </c>
      <c r="D144" s="7" t="str">
        <f>IF(Table13[[#This Row],[Product ID]]="","",VLOOKUP(Table13[[#This Row],[Product ID]],data,4,FALSE))</f>
        <v/>
      </c>
      <c r="E144" s="7"/>
      <c r="F144" s="7" t="str">
        <f>IF(Table13[[#This Row],[Product ID]]="","",PRODUCT(Table13[[#This Row],[Unit ]]*Table13[[#This Row],[Qty]]))</f>
        <v/>
      </c>
      <c r="G144" s="4"/>
    </row>
    <row r="145" spans="1:7" ht="30" customHeight="1" x14ac:dyDescent="0.3">
      <c r="A145" s="4"/>
      <c r="B145" s="4" t="str">
        <f>IF(Table13[[#This Row],[Product ID]]="","",VLOOKUP(Table13[[#This Row],[Product ID]],data,2,FALSE))</f>
        <v/>
      </c>
      <c r="C145" s="4" t="str">
        <f>IF(Table13[[#This Row],[Product ID]]="","",VLOOKUP(Table13[[#This Row],[Product ID]],data,3,FALSE))</f>
        <v/>
      </c>
      <c r="D145" s="7" t="str">
        <f>IF(Table13[[#This Row],[Product ID]]="","",VLOOKUP(Table13[[#This Row],[Product ID]],data,4,FALSE))</f>
        <v/>
      </c>
      <c r="E145" s="7"/>
      <c r="F145" s="7" t="str">
        <f>IF(Table13[[#This Row],[Product ID]]="","",PRODUCT(Table13[[#This Row],[Unit ]]*Table13[[#This Row],[Qty]]))</f>
        <v/>
      </c>
      <c r="G145" s="4"/>
    </row>
    <row r="146" spans="1:7" ht="30" customHeight="1" x14ac:dyDescent="0.3">
      <c r="A146" s="4"/>
      <c r="B146" s="4" t="str">
        <f>IF(Table13[[#This Row],[Product ID]]="","",VLOOKUP(Table13[[#This Row],[Product ID]],data,2,FALSE))</f>
        <v/>
      </c>
      <c r="C146" s="4" t="str">
        <f>IF(Table13[[#This Row],[Product ID]]="","",VLOOKUP(Table13[[#This Row],[Product ID]],data,3,FALSE))</f>
        <v/>
      </c>
      <c r="D146" s="7" t="str">
        <f>IF(Table13[[#This Row],[Product ID]]="","",VLOOKUP(Table13[[#This Row],[Product ID]],data,4,FALSE))</f>
        <v/>
      </c>
      <c r="E146" s="7"/>
      <c r="F146" s="7" t="str">
        <f>IF(Table13[[#This Row],[Product ID]]="","",PRODUCT(Table13[[#This Row],[Unit ]]*Table13[[#This Row],[Qty]]))</f>
        <v/>
      </c>
      <c r="G146" s="4"/>
    </row>
    <row r="147" spans="1:7" ht="30" customHeight="1" x14ac:dyDescent="0.3">
      <c r="A147" s="4"/>
      <c r="B147" s="4" t="str">
        <f>IF(Table13[[#This Row],[Product ID]]="","",VLOOKUP(Table13[[#This Row],[Product ID]],data,2,FALSE))</f>
        <v/>
      </c>
      <c r="C147" s="4" t="str">
        <f>IF(Table13[[#This Row],[Product ID]]="","",VLOOKUP(Table13[[#This Row],[Product ID]],data,3,FALSE))</f>
        <v/>
      </c>
      <c r="D147" s="7" t="str">
        <f>IF(Table13[[#This Row],[Product ID]]="","",VLOOKUP(Table13[[#This Row],[Product ID]],data,4,FALSE))</f>
        <v/>
      </c>
      <c r="E147" s="7"/>
      <c r="F147" s="7" t="str">
        <f>IF(Table13[[#This Row],[Product ID]]="","",PRODUCT(Table13[[#This Row],[Unit ]]*Table13[[#This Row],[Qty]]))</f>
        <v/>
      </c>
      <c r="G147" s="4"/>
    </row>
    <row r="148" spans="1:7" ht="30" customHeight="1" x14ac:dyDescent="0.3">
      <c r="A148" s="4"/>
      <c r="B148" s="4" t="str">
        <f>IF(Table13[[#This Row],[Product ID]]="","",VLOOKUP(Table13[[#This Row],[Product ID]],data,2,FALSE))</f>
        <v/>
      </c>
      <c r="C148" s="4" t="str">
        <f>IF(Table13[[#This Row],[Product ID]]="","",VLOOKUP(Table13[[#This Row],[Product ID]],data,3,FALSE))</f>
        <v/>
      </c>
      <c r="D148" s="7" t="str">
        <f>IF(Table13[[#This Row],[Product ID]]="","",VLOOKUP(Table13[[#This Row],[Product ID]],data,4,FALSE))</f>
        <v/>
      </c>
      <c r="E148" s="7"/>
      <c r="F148" s="7" t="str">
        <f>IF(Table13[[#This Row],[Product ID]]="","",PRODUCT(Table13[[#This Row],[Unit ]]*Table13[[#This Row],[Qty]]))</f>
        <v/>
      </c>
      <c r="G148" s="4"/>
    </row>
    <row r="149" spans="1:7" ht="30" customHeight="1" x14ac:dyDescent="0.3">
      <c r="A149" s="4"/>
      <c r="B149" s="4" t="str">
        <f>IF(Table13[[#This Row],[Product ID]]="","",VLOOKUP(Table13[[#This Row],[Product ID]],data,2,FALSE))</f>
        <v/>
      </c>
      <c r="C149" s="4" t="str">
        <f>IF(Table13[[#This Row],[Product ID]]="","",VLOOKUP(Table13[[#This Row],[Product ID]],data,3,FALSE))</f>
        <v/>
      </c>
      <c r="D149" s="7" t="str">
        <f>IF(Table13[[#This Row],[Product ID]]="","",VLOOKUP(Table13[[#This Row],[Product ID]],data,4,FALSE))</f>
        <v/>
      </c>
      <c r="E149" s="7"/>
      <c r="F149" s="7" t="str">
        <f>IF(Table13[[#This Row],[Product ID]]="","",PRODUCT(Table13[[#This Row],[Unit ]]*Table13[[#This Row],[Qty]]))</f>
        <v/>
      </c>
      <c r="G149" s="4"/>
    </row>
    <row r="150" spans="1:7" ht="30" customHeight="1" x14ac:dyDescent="0.3">
      <c r="A150" s="4"/>
      <c r="B150" s="4" t="str">
        <f>IF(Table13[[#This Row],[Product ID]]="","",VLOOKUP(Table13[[#This Row],[Product ID]],data,2,FALSE))</f>
        <v/>
      </c>
      <c r="C150" s="4" t="str">
        <f>IF(Table13[[#This Row],[Product ID]]="","",VLOOKUP(Table13[[#This Row],[Product ID]],data,3,FALSE))</f>
        <v/>
      </c>
      <c r="D150" s="7" t="str">
        <f>IF(Table13[[#This Row],[Product ID]]="","",VLOOKUP(Table13[[#This Row],[Product ID]],data,4,FALSE))</f>
        <v/>
      </c>
      <c r="E150" s="7"/>
      <c r="F150" s="7" t="str">
        <f>IF(Table13[[#This Row],[Product ID]]="","",PRODUCT(Table13[[#This Row],[Unit ]]*Table13[[#This Row],[Qty]]))</f>
        <v/>
      </c>
      <c r="G150" s="4"/>
    </row>
    <row r="151" spans="1:7" ht="30" customHeight="1" x14ac:dyDescent="0.3">
      <c r="A151" s="4"/>
      <c r="B151" s="4" t="str">
        <f>IF(Table13[[#This Row],[Product ID]]="","",VLOOKUP(Table13[[#This Row],[Product ID]],data,2,FALSE))</f>
        <v/>
      </c>
      <c r="C151" s="4" t="str">
        <f>IF(Table13[[#This Row],[Product ID]]="","",VLOOKUP(Table13[[#This Row],[Product ID]],data,3,FALSE))</f>
        <v/>
      </c>
      <c r="D151" s="7" t="str">
        <f>IF(Table13[[#This Row],[Product ID]]="","",VLOOKUP(Table13[[#This Row],[Product ID]],data,4,FALSE))</f>
        <v/>
      </c>
      <c r="E151" s="7"/>
      <c r="F151" s="7" t="str">
        <f>IF(Table13[[#This Row],[Product ID]]="","",PRODUCT(Table13[[#This Row],[Unit ]]*Table13[[#This Row],[Qty]]))</f>
        <v/>
      </c>
      <c r="G151" s="4"/>
    </row>
    <row r="152" spans="1:7" ht="30" customHeight="1" x14ac:dyDescent="0.3">
      <c r="A152" s="4"/>
      <c r="B152" s="4" t="str">
        <f>IF(Table13[[#This Row],[Product ID]]="","",VLOOKUP(Table13[[#This Row],[Product ID]],data,2,FALSE))</f>
        <v/>
      </c>
      <c r="C152" s="4" t="str">
        <f>IF(Table13[[#This Row],[Product ID]]="","",VLOOKUP(Table13[[#This Row],[Product ID]],data,3,FALSE))</f>
        <v/>
      </c>
      <c r="D152" s="7" t="str">
        <f>IF(Table13[[#This Row],[Product ID]]="","",VLOOKUP(Table13[[#This Row],[Product ID]],data,4,FALSE))</f>
        <v/>
      </c>
      <c r="E152" s="7"/>
      <c r="F152" s="7" t="str">
        <f>IF(Table13[[#This Row],[Product ID]]="","",PRODUCT(Table13[[#This Row],[Unit ]]*Table13[[#This Row],[Qty]]))</f>
        <v/>
      </c>
      <c r="G152" s="4"/>
    </row>
    <row r="153" spans="1:7" ht="30" customHeight="1" x14ac:dyDescent="0.3">
      <c r="A153" s="4"/>
      <c r="B153" s="4" t="str">
        <f>IF(Table13[[#This Row],[Product ID]]="","",VLOOKUP(Table13[[#This Row],[Product ID]],data,2,FALSE))</f>
        <v/>
      </c>
      <c r="C153" s="4" t="str">
        <f>IF(Table13[[#This Row],[Product ID]]="","",VLOOKUP(Table13[[#This Row],[Product ID]],data,3,FALSE))</f>
        <v/>
      </c>
      <c r="D153" s="7" t="str">
        <f>IF(Table13[[#This Row],[Product ID]]="","",VLOOKUP(Table13[[#This Row],[Product ID]],data,4,FALSE))</f>
        <v/>
      </c>
      <c r="E153" s="7"/>
      <c r="F153" s="7" t="str">
        <f>IF(Table13[[#This Row],[Product ID]]="","",PRODUCT(Table13[[#This Row],[Unit ]]*Table13[[#This Row],[Qty]]))</f>
        <v/>
      </c>
      <c r="G153" s="4"/>
    </row>
    <row r="154" spans="1:7" ht="30" customHeight="1" x14ac:dyDescent="0.3">
      <c r="A154" s="4"/>
      <c r="B154" s="4" t="str">
        <f>IF(Table13[[#This Row],[Product ID]]="","",VLOOKUP(Table13[[#This Row],[Product ID]],data,2,FALSE))</f>
        <v/>
      </c>
      <c r="C154" s="4" t="str">
        <f>IF(Table13[[#This Row],[Product ID]]="","",VLOOKUP(Table13[[#This Row],[Product ID]],data,3,FALSE))</f>
        <v/>
      </c>
      <c r="D154" s="7" t="str">
        <f>IF(Table13[[#This Row],[Product ID]]="","",VLOOKUP(Table13[[#This Row],[Product ID]],data,4,FALSE))</f>
        <v/>
      </c>
      <c r="E154" s="7"/>
      <c r="F154" s="7" t="str">
        <f>IF(Table13[[#This Row],[Product ID]]="","",PRODUCT(Table13[[#This Row],[Unit ]]*Table13[[#This Row],[Qty]]))</f>
        <v/>
      </c>
      <c r="G154" s="4"/>
    </row>
    <row r="155" spans="1:7" ht="30" customHeight="1" x14ac:dyDescent="0.3">
      <c r="A155" s="4"/>
      <c r="B155" s="4" t="str">
        <f>IF(Table13[[#This Row],[Product ID]]="","",VLOOKUP(Table13[[#This Row],[Product ID]],data,2,FALSE))</f>
        <v/>
      </c>
      <c r="C155" s="4" t="str">
        <f>IF(Table13[[#This Row],[Product ID]]="","",VLOOKUP(Table13[[#This Row],[Product ID]],data,3,FALSE))</f>
        <v/>
      </c>
      <c r="D155" s="7" t="str">
        <f>IF(Table13[[#This Row],[Product ID]]="","",VLOOKUP(Table13[[#This Row],[Product ID]],data,4,FALSE))</f>
        <v/>
      </c>
      <c r="E155" s="7"/>
      <c r="F155" s="7" t="str">
        <f>IF(Table13[[#This Row],[Product ID]]="","",PRODUCT(Table13[[#This Row],[Unit ]]*Table13[[#This Row],[Qty]]))</f>
        <v/>
      </c>
      <c r="G155" s="4"/>
    </row>
    <row r="156" spans="1:7" ht="30" customHeight="1" x14ac:dyDescent="0.3">
      <c r="A156" s="4"/>
      <c r="B156" s="4" t="str">
        <f>IF(Table13[[#This Row],[Product ID]]="","",VLOOKUP(Table13[[#This Row],[Product ID]],data,2,FALSE))</f>
        <v/>
      </c>
      <c r="C156" s="4" t="str">
        <f>IF(Table13[[#This Row],[Product ID]]="","",VLOOKUP(Table13[[#This Row],[Product ID]],data,3,FALSE))</f>
        <v/>
      </c>
      <c r="D156" s="7" t="str">
        <f>IF(Table13[[#This Row],[Product ID]]="","",VLOOKUP(Table13[[#This Row],[Product ID]],data,4,FALSE))</f>
        <v/>
      </c>
      <c r="E156" s="7"/>
      <c r="F156" s="7" t="str">
        <f>IF(Table13[[#This Row],[Product ID]]="","",PRODUCT(Table13[[#This Row],[Unit ]]*Table13[[#This Row],[Qty]]))</f>
        <v/>
      </c>
      <c r="G156" s="4"/>
    </row>
    <row r="157" spans="1:7" ht="30" customHeight="1" x14ac:dyDescent="0.3">
      <c r="A157" s="4"/>
      <c r="B157" s="4" t="str">
        <f>IF(Table13[[#This Row],[Product ID]]="","",VLOOKUP(Table13[[#This Row],[Product ID]],data,2,FALSE))</f>
        <v/>
      </c>
      <c r="C157" s="4" t="str">
        <f>IF(Table13[[#This Row],[Product ID]]="","",VLOOKUP(Table13[[#This Row],[Product ID]],data,3,FALSE))</f>
        <v/>
      </c>
      <c r="D157" s="7" t="str">
        <f>IF(Table13[[#This Row],[Product ID]]="","",VLOOKUP(Table13[[#This Row],[Product ID]],data,4,FALSE))</f>
        <v/>
      </c>
      <c r="E157" s="7"/>
      <c r="F157" s="7" t="str">
        <f>IF(Table13[[#This Row],[Product ID]]="","",PRODUCT(Table13[[#This Row],[Unit ]]*Table13[[#This Row],[Qty]]))</f>
        <v/>
      </c>
      <c r="G157" s="4"/>
    </row>
    <row r="158" spans="1:7" ht="30" customHeight="1" x14ac:dyDescent="0.3">
      <c r="A158" s="4"/>
      <c r="B158" s="4" t="str">
        <f>IF(Table13[[#This Row],[Product ID]]="","",VLOOKUP(Table13[[#This Row],[Product ID]],data,2,FALSE))</f>
        <v/>
      </c>
      <c r="C158" s="4" t="str">
        <f>IF(Table13[[#This Row],[Product ID]]="","",VLOOKUP(Table13[[#This Row],[Product ID]],data,3,FALSE))</f>
        <v/>
      </c>
      <c r="D158" s="7" t="str">
        <f>IF(Table13[[#This Row],[Product ID]]="","",VLOOKUP(Table13[[#This Row],[Product ID]],data,4,FALSE))</f>
        <v/>
      </c>
      <c r="E158" s="7"/>
      <c r="F158" s="7" t="str">
        <f>IF(Table13[[#This Row],[Product ID]]="","",PRODUCT(Table13[[#This Row],[Unit ]]*Table13[[#This Row],[Qty]]))</f>
        <v/>
      </c>
      <c r="G158" s="4"/>
    </row>
    <row r="159" spans="1:7" ht="30" customHeight="1" x14ac:dyDescent="0.3">
      <c r="A159" s="4"/>
      <c r="B159" s="4" t="str">
        <f>IF(Table13[[#This Row],[Product ID]]="","",VLOOKUP(Table13[[#This Row],[Product ID]],data,2,FALSE))</f>
        <v/>
      </c>
      <c r="C159" s="4" t="str">
        <f>IF(Table13[[#This Row],[Product ID]]="","",VLOOKUP(Table13[[#This Row],[Product ID]],data,3,FALSE))</f>
        <v/>
      </c>
      <c r="D159" s="7" t="str">
        <f>IF(Table13[[#This Row],[Product ID]]="","",VLOOKUP(Table13[[#This Row],[Product ID]],data,4,FALSE))</f>
        <v/>
      </c>
      <c r="E159" s="7"/>
      <c r="F159" s="7" t="str">
        <f>IF(Table13[[#This Row],[Product ID]]="","",PRODUCT(Table13[[#This Row],[Unit ]]*Table13[[#This Row],[Qty]]))</f>
        <v/>
      </c>
      <c r="G159" s="4"/>
    </row>
    <row r="160" spans="1:7" ht="30" customHeight="1" x14ac:dyDescent="0.3">
      <c r="A160" s="4"/>
      <c r="B160" s="4" t="str">
        <f>IF(Table13[[#This Row],[Product ID]]="","",VLOOKUP(Table13[[#This Row],[Product ID]],data,2,FALSE))</f>
        <v/>
      </c>
      <c r="C160" s="4" t="str">
        <f>IF(Table13[[#This Row],[Product ID]]="","",VLOOKUP(Table13[[#This Row],[Product ID]],data,3,FALSE))</f>
        <v/>
      </c>
      <c r="D160" s="7" t="str">
        <f>IF(Table13[[#This Row],[Product ID]]="","",VLOOKUP(Table13[[#This Row],[Product ID]],data,4,FALSE))</f>
        <v/>
      </c>
      <c r="E160" s="7"/>
      <c r="F160" s="7" t="str">
        <f>IF(Table13[[#This Row],[Product ID]]="","",PRODUCT(Table13[[#This Row],[Unit ]]*Table13[[#This Row],[Qty]]))</f>
        <v/>
      </c>
      <c r="G160" s="4"/>
    </row>
    <row r="161" spans="1:7" ht="30" customHeight="1" x14ac:dyDescent="0.3">
      <c r="A161" s="4"/>
      <c r="B161" s="4" t="str">
        <f>IF(Table13[[#This Row],[Product ID]]="","",VLOOKUP(Table13[[#This Row],[Product ID]],data,2,FALSE))</f>
        <v/>
      </c>
      <c r="C161" s="4" t="str">
        <f>IF(Table13[[#This Row],[Product ID]]="","",VLOOKUP(Table13[[#This Row],[Product ID]],data,3,FALSE))</f>
        <v/>
      </c>
      <c r="D161" s="7" t="str">
        <f>IF(Table13[[#This Row],[Product ID]]="","",VLOOKUP(Table13[[#This Row],[Product ID]],data,4,FALSE))</f>
        <v/>
      </c>
      <c r="E161" s="7"/>
      <c r="F161" s="7" t="str">
        <f>IF(Table13[[#This Row],[Product ID]]="","",PRODUCT(Table13[[#This Row],[Unit ]]*Table13[[#This Row],[Qty]]))</f>
        <v/>
      </c>
      <c r="G161" s="4"/>
    </row>
    <row r="162" spans="1:7" ht="30" customHeight="1" x14ac:dyDescent="0.3">
      <c r="A162" s="4"/>
      <c r="B162" s="4" t="str">
        <f>IF(Table13[[#This Row],[Product ID]]="","",VLOOKUP(Table13[[#This Row],[Product ID]],data,2,FALSE))</f>
        <v/>
      </c>
      <c r="C162" s="4" t="str">
        <f>IF(Table13[[#This Row],[Product ID]]="","",VLOOKUP(Table13[[#This Row],[Product ID]],data,3,FALSE))</f>
        <v/>
      </c>
      <c r="D162" s="7" t="str">
        <f>IF(Table13[[#This Row],[Product ID]]="","",VLOOKUP(Table13[[#This Row],[Product ID]],data,4,FALSE))</f>
        <v/>
      </c>
      <c r="E162" s="7"/>
      <c r="F162" s="7" t="str">
        <f>IF(Table13[[#This Row],[Product ID]]="","",PRODUCT(Table13[[#This Row],[Unit ]]*Table13[[#This Row],[Qty]]))</f>
        <v/>
      </c>
      <c r="G162" s="4"/>
    </row>
    <row r="163" spans="1:7" ht="30" customHeight="1" x14ac:dyDescent="0.3">
      <c r="A163" s="4"/>
      <c r="B163" s="4" t="str">
        <f>IF(Table13[[#This Row],[Product ID]]="","",VLOOKUP(Table13[[#This Row],[Product ID]],data,2,FALSE))</f>
        <v/>
      </c>
      <c r="C163" s="4" t="str">
        <f>IF(Table13[[#This Row],[Product ID]]="","",VLOOKUP(Table13[[#This Row],[Product ID]],data,3,FALSE))</f>
        <v/>
      </c>
      <c r="D163" s="7" t="str">
        <f>IF(Table13[[#This Row],[Product ID]]="","",VLOOKUP(Table13[[#This Row],[Product ID]],data,4,FALSE))</f>
        <v/>
      </c>
      <c r="E163" s="7"/>
      <c r="F163" s="7" t="str">
        <f>IF(Table13[[#This Row],[Product ID]]="","",PRODUCT(Table13[[#This Row],[Unit ]]*Table13[[#This Row],[Qty]]))</f>
        <v/>
      </c>
      <c r="G163" s="4"/>
    </row>
    <row r="164" spans="1:7" ht="30" customHeight="1" x14ac:dyDescent="0.3">
      <c r="A164" s="4"/>
      <c r="B164" s="4" t="str">
        <f>IF(Table13[[#This Row],[Product ID]]="","",VLOOKUP(Table13[[#This Row],[Product ID]],data,2,FALSE))</f>
        <v/>
      </c>
      <c r="C164" s="4" t="str">
        <f>IF(Table13[[#This Row],[Product ID]]="","",VLOOKUP(Table13[[#This Row],[Product ID]],data,3,FALSE))</f>
        <v/>
      </c>
      <c r="D164" s="7" t="str">
        <f>IF(Table13[[#This Row],[Product ID]]="","",VLOOKUP(Table13[[#This Row],[Product ID]],data,4,FALSE))</f>
        <v/>
      </c>
      <c r="E164" s="7"/>
      <c r="F164" s="7" t="str">
        <f>IF(Table13[[#This Row],[Product ID]]="","",PRODUCT(Table13[[#This Row],[Unit ]]*Table13[[#This Row],[Qty]]))</f>
        <v/>
      </c>
      <c r="G164" s="4"/>
    </row>
    <row r="165" spans="1:7" ht="30" customHeight="1" x14ac:dyDescent="0.3">
      <c r="A165" s="4"/>
      <c r="B165" s="4" t="str">
        <f>IF(Table13[[#This Row],[Product ID]]="","",VLOOKUP(Table13[[#This Row],[Product ID]],data,2,FALSE))</f>
        <v/>
      </c>
      <c r="C165" s="4" t="str">
        <f>IF(Table13[[#This Row],[Product ID]]="","",VLOOKUP(Table13[[#This Row],[Product ID]],data,3,FALSE))</f>
        <v/>
      </c>
      <c r="D165" s="7" t="str">
        <f>IF(Table13[[#This Row],[Product ID]]="","",VLOOKUP(Table13[[#This Row],[Product ID]],data,4,FALSE))</f>
        <v/>
      </c>
      <c r="E165" s="7"/>
      <c r="F165" s="7" t="str">
        <f>IF(Table13[[#This Row],[Product ID]]="","",PRODUCT(Table13[[#This Row],[Unit ]]*Table13[[#This Row],[Qty]]))</f>
        <v/>
      </c>
      <c r="G165" s="4"/>
    </row>
    <row r="166" spans="1:7" ht="30" customHeight="1" x14ac:dyDescent="0.3">
      <c r="A166" s="4"/>
      <c r="B166" s="4" t="str">
        <f>IF(Table13[[#This Row],[Product ID]]="","",VLOOKUP(Table13[[#This Row],[Product ID]],data,2,FALSE))</f>
        <v/>
      </c>
      <c r="C166" s="4" t="str">
        <f>IF(Table13[[#This Row],[Product ID]]="","",VLOOKUP(Table13[[#This Row],[Product ID]],data,3,FALSE))</f>
        <v/>
      </c>
      <c r="D166" s="7" t="str">
        <f>IF(Table13[[#This Row],[Product ID]]="","",VLOOKUP(Table13[[#This Row],[Product ID]],data,4,FALSE))</f>
        <v/>
      </c>
      <c r="E166" s="7"/>
      <c r="F166" s="7" t="str">
        <f>IF(Table13[[#This Row],[Product ID]]="","",PRODUCT(Table13[[#This Row],[Unit ]]*Table13[[#This Row],[Qty]]))</f>
        <v/>
      </c>
      <c r="G166" s="4"/>
    </row>
    <row r="167" spans="1:7" ht="30" customHeight="1" x14ac:dyDescent="0.3">
      <c r="A167" s="4"/>
      <c r="B167" s="4" t="str">
        <f>IF(Table13[[#This Row],[Product ID]]="","",VLOOKUP(Table13[[#This Row],[Product ID]],data,2,FALSE))</f>
        <v/>
      </c>
      <c r="C167" s="4" t="str">
        <f>IF(Table13[[#This Row],[Product ID]]="","",VLOOKUP(Table13[[#This Row],[Product ID]],data,3,FALSE))</f>
        <v/>
      </c>
      <c r="D167" s="7" t="str">
        <f>IF(Table13[[#This Row],[Product ID]]="","",VLOOKUP(Table13[[#This Row],[Product ID]],data,4,FALSE))</f>
        <v/>
      </c>
      <c r="E167" s="7"/>
      <c r="F167" s="7" t="str">
        <f>IF(Table13[[#This Row],[Product ID]]="","",PRODUCT(Table13[[#This Row],[Unit ]]*Table13[[#This Row],[Qty]]))</f>
        <v/>
      </c>
      <c r="G167" s="4"/>
    </row>
    <row r="168" spans="1:7" ht="30" customHeight="1" x14ac:dyDescent="0.3">
      <c r="A168" s="4"/>
      <c r="B168" s="4" t="str">
        <f>IF(Table13[[#This Row],[Product ID]]="","",VLOOKUP(Table13[[#This Row],[Product ID]],data,2,FALSE))</f>
        <v/>
      </c>
      <c r="C168" s="4" t="str">
        <f>IF(Table13[[#This Row],[Product ID]]="","",VLOOKUP(Table13[[#This Row],[Product ID]],data,3,FALSE))</f>
        <v/>
      </c>
      <c r="D168" s="7" t="str">
        <f>IF(Table13[[#This Row],[Product ID]]="","",VLOOKUP(Table13[[#This Row],[Product ID]],data,4,FALSE))</f>
        <v/>
      </c>
      <c r="E168" s="7"/>
      <c r="F168" s="7" t="str">
        <f>IF(Table13[[#This Row],[Product ID]]="","",PRODUCT(Table13[[#This Row],[Unit ]]*Table13[[#This Row],[Qty]]))</f>
        <v/>
      </c>
      <c r="G168" s="4"/>
    </row>
    <row r="169" spans="1:7" ht="30" customHeight="1" x14ac:dyDescent="0.3">
      <c r="A169" s="4"/>
      <c r="B169" s="4" t="str">
        <f>IF(Table13[[#This Row],[Product ID]]="","",VLOOKUP(Table13[[#This Row],[Product ID]],data,2,FALSE))</f>
        <v/>
      </c>
      <c r="C169" s="4" t="str">
        <f>IF(Table13[[#This Row],[Product ID]]="","",VLOOKUP(Table13[[#This Row],[Product ID]],data,3,FALSE))</f>
        <v/>
      </c>
      <c r="D169" s="7" t="str">
        <f>IF(Table13[[#This Row],[Product ID]]="","",VLOOKUP(Table13[[#This Row],[Product ID]],data,4,FALSE))</f>
        <v/>
      </c>
      <c r="E169" s="7"/>
      <c r="F169" s="7" t="str">
        <f>IF(Table13[[#This Row],[Product ID]]="","",PRODUCT(Table13[[#This Row],[Unit ]]*Table13[[#This Row],[Qty]]))</f>
        <v/>
      </c>
      <c r="G169" s="4"/>
    </row>
    <row r="170" spans="1:7" ht="30" customHeight="1" x14ac:dyDescent="0.3">
      <c r="A170" s="4"/>
      <c r="B170" s="4" t="str">
        <f>IF(Table13[[#This Row],[Product ID]]="","",VLOOKUP(Table13[[#This Row],[Product ID]],data,2,FALSE))</f>
        <v/>
      </c>
      <c r="C170" s="4" t="str">
        <f>IF(Table13[[#This Row],[Product ID]]="","",VLOOKUP(Table13[[#This Row],[Product ID]],data,3,FALSE))</f>
        <v/>
      </c>
      <c r="D170" s="7" t="str">
        <f>IF(Table13[[#This Row],[Product ID]]="","",VLOOKUP(Table13[[#This Row],[Product ID]],data,4,FALSE))</f>
        <v/>
      </c>
      <c r="E170" s="7"/>
      <c r="F170" s="7" t="str">
        <f>IF(Table13[[#This Row],[Product ID]]="","",PRODUCT(Table13[[#This Row],[Unit ]]*Table13[[#This Row],[Qty]]))</f>
        <v/>
      </c>
      <c r="G170" s="4"/>
    </row>
    <row r="171" spans="1:7" ht="30" customHeight="1" x14ac:dyDescent="0.3">
      <c r="A171" s="4"/>
      <c r="B171" s="4" t="str">
        <f>IF(Table13[[#This Row],[Product ID]]="","",VLOOKUP(Table13[[#This Row],[Product ID]],data,2,FALSE))</f>
        <v/>
      </c>
      <c r="C171" s="4" t="str">
        <f>IF(Table13[[#This Row],[Product ID]]="","",VLOOKUP(Table13[[#This Row],[Product ID]],data,3,FALSE))</f>
        <v/>
      </c>
      <c r="D171" s="7" t="str">
        <f>IF(Table13[[#This Row],[Product ID]]="","",VLOOKUP(Table13[[#This Row],[Product ID]],data,4,FALSE))</f>
        <v/>
      </c>
      <c r="E171" s="7"/>
      <c r="F171" s="7" t="str">
        <f>IF(Table13[[#This Row],[Product ID]]="","",PRODUCT(Table13[[#This Row],[Unit ]]*Table13[[#This Row],[Qty]]))</f>
        <v/>
      </c>
      <c r="G171" s="4"/>
    </row>
    <row r="172" spans="1:7" ht="30" customHeight="1" x14ac:dyDescent="0.3">
      <c r="A172" s="4"/>
      <c r="B172" s="4" t="str">
        <f>IF(Table13[[#This Row],[Product ID]]="","",VLOOKUP(Table13[[#This Row],[Product ID]],data,2,FALSE))</f>
        <v/>
      </c>
      <c r="C172" s="4" t="str">
        <f>IF(Table13[[#This Row],[Product ID]]="","",VLOOKUP(Table13[[#This Row],[Product ID]],data,3,FALSE))</f>
        <v/>
      </c>
      <c r="D172" s="7" t="str">
        <f>IF(Table13[[#This Row],[Product ID]]="","",VLOOKUP(Table13[[#This Row],[Product ID]],data,4,FALSE))</f>
        <v/>
      </c>
      <c r="E172" s="7"/>
      <c r="F172" s="7" t="str">
        <f>IF(Table13[[#This Row],[Product ID]]="","",PRODUCT(Table13[[#This Row],[Unit ]]*Table13[[#This Row],[Qty]]))</f>
        <v/>
      </c>
      <c r="G172" s="4"/>
    </row>
    <row r="173" spans="1:7" ht="30" customHeight="1" x14ac:dyDescent="0.3">
      <c r="A173" s="4"/>
      <c r="B173" s="4" t="str">
        <f>IF(Table13[[#This Row],[Product ID]]="","",VLOOKUP(Table13[[#This Row],[Product ID]],data,2,FALSE))</f>
        <v/>
      </c>
      <c r="C173" s="4" t="str">
        <f>IF(Table13[[#This Row],[Product ID]]="","",VLOOKUP(Table13[[#This Row],[Product ID]],data,3,FALSE))</f>
        <v/>
      </c>
      <c r="D173" s="7" t="str">
        <f>IF(Table13[[#This Row],[Product ID]]="","",VLOOKUP(Table13[[#This Row],[Product ID]],data,4,FALSE))</f>
        <v/>
      </c>
      <c r="E173" s="7"/>
      <c r="F173" s="7" t="str">
        <f>IF(Table13[[#This Row],[Product ID]]="","",PRODUCT(Table13[[#This Row],[Unit ]]*Table13[[#This Row],[Qty]]))</f>
        <v/>
      </c>
      <c r="G173" s="4"/>
    </row>
    <row r="174" spans="1:7" ht="30" customHeight="1" x14ac:dyDescent="0.3">
      <c r="A174" s="4"/>
      <c r="B174" s="4" t="str">
        <f>IF(Table13[[#This Row],[Product ID]]="","",VLOOKUP(Table13[[#This Row],[Product ID]],data,2,FALSE))</f>
        <v/>
      </c>
      <c r="C174" s="4" t="str">
        <f>IF(Table13[[#This Row],[Product ID]]="","",VLOOKUP(Table13[[#This Row],[Product ID]],data,3,FALSE))</f>
        <v/>
      </c>
      <c r="D174" s="7" t="str">
        <f>IF(Table13[[#This Row],[Product ID]]="","",VLOOKUP(Table13[[#This Row],[Product ID]],data,4,FALSE))</f>
        <v/>
      </c>
      <c r="E174" s="7"/>
      <c r="F174" s="7" t="str">
        <f>IF(Table13[[#This Row],[Product ID]]="","",PRODUCT(Table13[[#This Row],[Unit ]]*Table13[[#This Row],[Qty]]))</f>
        <v/>
      </c>
      <c r="G174" s="4"/>
    </row>
    <row r="175" spans="1:7" ht="30" customHeight="1" x14ac:dyDescent="0.3">
      <c r="A175" s="4"/>
      <c r="B175" s="4" t="str">
        <f>IF(Table13[[#This Row],[Product ID]]="","",VLOOKUP(Table13[[#This Row],[Product ID]],data,2,FALSE))</f>
        <v/>
      </c>
      <c r="C175" s="4" t="str">
        <f>IF(Table13[[#This Row],[Product ID]]="","",VLOOKUP(Table13[[#This Row],[Product ID]],data,3,FALSE))</f>
        <v/>
      </c>
      <c r="D175" s="7" t="str">
        <f>IF(Table13[[#This Row],[Product ID]]="","",VLOOKUP(Table13[[#This Row],[Product ID]],data,4,FALSE))</f>
        <v/>
      </c>
      <c r="E175" s="7"/>
      <c r="F175" s="7" t="str">
        <f>IF(Table13[[#This Row],[Product ID]]="","",PRODUCT(Table13[[#This Row],[Unit ]]*Table13[[#This Row],[Qty]]))</f>
        <v/>
      </c>
      <c r="G175" s="4"/>
    </row>
    <row r="176" spans="1:7" ht="30" customHeight="1" x14ac:dyDescent="0.3">
      <c r="A176" s="4"/>
      <c r="B176" s="4" t="str">
        <f>IF(Table13[[#This Row],[Product ID]]="","",VLOOKUP(Table13[[#This Row],[Product ID]],data,2,FALSE))</f>
        <v/>
      </c>
      <c r="C176" s="4" t="str">
        <f>IF(Table13[[#This Row],[Product ID]]="","",VLOOKUP(Table13[[#This Row],[Product ID]],data,3,FALSE))</f>
        <v/>
      </c>
      <c r="D176" s="7" t="str">
        <f>IF(Table13[[#This Row],[Product ID]]="","",VLOOKUP(Table13[[#This Row],[Product ID]],data,4,FALSE))</f>
        <v/>
      </c>
      <c r="E176" s="7"/>
      <c r="F176" s="7" t="str">
        <f>IF(Table13[[#This Row],[Product ID]]="","",PRODUCT(Table13[[#This Row],[Unit ]]*Table13[[#This Row],[Qty]]))</f>
        <v/>
      </c>
      <c r="G176" s="4"/>
    </row>
    <row r="177" spans="1:7" ht="30" customHeight="1" x14ac:dyDescent="0.3">
      <c r="A177" s="4"/>
      <c r="B177" s="4" t="str">
        <f>IF(Table13[[#This Row],[Product ID]]="","",VLOOKUP(Table13[[#This Row],[Product ID]],data,2,FALSE))</f>
        <v/>
      </c>
      <c r="C177" s="4" t="str">
        <f>IF(Table13[[#This Row],[Product ID]]="","",VLOOKUP(Table13[[#This Row],[Product ID]],data,3,FALSE))</f>
        <v/>
      </c>
      <c r="D177" s="7" t="str">
        <f>IF(Table13[[#This Row],[Product ID]]="","",VLOOKUP(Table13[[#This Row],[Product ID]],data,4,FALSE))</f>
        <v/>
      </c>
      <c r="E177" s="7"/>
      <c r="F177" s="7" t="str">
        <f>IF(Table13[[#This Row],[Product ID]]="","",PRODUCT(Table13[[#This Row],[Unit ]]*Table13[[#This Row],[Qty]]))</f>
        <v/>
      </c>
      <c r="G177" s="4"/>
    </row>
    <row r="178" spans="1:7" ht="30" customHeight="1" x14ac:dyDescent="0.3">
      <c r="A178" s="4"/>
      <c r="B178" s="4" t="str">
        <f>IF(Table13[[#This Row],[Product ID]]="","",VLOOKUP(Table13[[#This Row],[Product ID]],data,2,FALSE))</f>
        <v/>
      </c>
      <c r="C178" s="4" t="str">
        <f>IF(Table13[[#This Row],[Product ID]]="","",VLOOKUP(Table13[[#This Row],[Product ID]],data,3,FALSE))</f>
        <v/>
      </c>
      <c r="D178" s="7" t="str">
        <f>IF(Table13[[#This Row],[Product ID]]="","",VLOOKUP(Table13[[#This Row],[Product ID]],data,4,FALSE))</f>
        <v/>
      </c>
      <c r="E178" s="7"/>
      <c r="F178" s="7" t="str">
        <f>IF(Table13[[#This Row],[Product ID]]="","",PRODUCT(Table13[[#This Row],[Unit ]]*Table13[[#This Row],[Qty]]))</f>
        <v/>
      </c>
      <c r="G178" s="4"/>
    </row>
    <row r="179" spans="1:7" ht="30" customHeight="1" x14ac:dyDescent="0.3">
      <c r="A179" s="4"/>
      <c r="B179" s="4" t="str">
        <f>IF(Table13[[#This Row],[Product ID]]="","",VLOOKUP(Table13[[#This Row],[Product ID]],data,2,FALSE))</f>
        <v/>
      </c>
      <c r="C179" s="4" t="str">
        <f>IF(Table13[[#This Row],[Product ID]]="","",VLOOKUP(Table13[[#This Row],[Product ID]],data,3,FALSE))</f>
        <v/>
      </c>
      <c r="D179" s="7" t="str">
        <f>IF(Table13[[#This Row],[Product ID]]="","",VLOOKUP(Table13[[#This Row],[Product ID]],data,4,FALSE))</f>
        <v/>
      </c>
      <c r="E179" s="7"/>
      <c r="F179" s="7" t="str">
        <f>IF(Table13[[#This Row],[Product ID]]="","",PRODUCT(Table13[[#This Row],[Unit ]]*Table13[[#This Row],[Qty]]))</f>
        <v/>
      </c>
      <c r="G179" s="4"/>
    </row>
    <row r="180" spans="1:7" ht="30" customHeight="1" x14ac:dyDescent="0.3">
      <c r="A180" s="4"/>
      <c r="B180" s="4" t="str">
        <f>IF(Table13[[#This Row],[Product ID]]="","",VLOOKUP(Table13[[#This Row],[Product ID]],data,2,FALSE))</f>
        <v/>
      </c>
      <c r="C180" s="4" t="str">
        <f>IF(Table13[[#This Row],[Product ID]]="","",VLOOKUP(Table13[[#This Row],[Product ID]],data,3,FALSE))</f>
        <v/>
      </c>
      <c r="D180" s="7" t="str">
        <f>IF(Table13[[#This Row],[Product ID]]="","",VLOOKUP(Table13[[#This Row],[Product ID]],data,4,FALSE))</f>
        <v/>
      </c>
      <c r="E180" s="7"/>
      <c r="F180" s="7" t="str">
        <f>IF(Table13[[#This Row],[Product ID]]="","",PRODUCT(Table13[[#This Row],[Unit ]]*Table13[[#This Row],[Qty]]))</f>
        <v/>
      </c>
      <c r="G180" s="4"/>
    </row>
    <row r="181" spans="1:7" ht="30" customHeight="1" x14ac:dyDescent="0.3">
      <c r="A181" s="4"/>
      <c r="B181" s="4" t="str">
        <f>IF(Table13[[#This Row],[Product ID]]="","",VLOOKUP(Table13[[#This Row],[Product ID]],data,2,FALSE))</f>
        <v/>
      </c>
      <c r="C181" s="4" t="str">
        <f>IF(Table13[[#This Row],[Product ID]]="","",VLOOKUP(Table13[[#This Row],[Product ID]],data,3,FALSE))</f>
        <v/>
      </c>
      <c r="D181" s="7" t="str">
        <f>IF(Table13[[#This Row],[Product ID]]="","",VLOOKUP(Table13[[#This Row],[Product ID]],data,4,FALSE))</f>
        <v/>
      </c>
      <c r="E181" s="7"/>
      <c r="F181" s="7" t="str">
        <f>IF(Table13[[#This Row],[Product ID]]="","",PRODUCT(Table13[[#This Row],[Unit ]]*Table13[[#This Row],[Qty]]))</f>
        <v/>
      </c>
      <c r="G181" s="4"/>
    </row>
    <row r="182" spans="1:7" ht="30" customHeight="1" x14ac:dyDescent="0.3">
      <c r="A182" s="4"/>
      <c r="B182" s="4" t="str">
        <f>IF(Table13[[#This Row],[Product ID]]="","",VLOOKUP(Table13[[#This Row],[Product ID]],data,2,FALSE))</f>
        <v/>
      </c>
      <c r="C182" s="4" t="str">
        <f>IF(Table13[[#This Row],[Product ID]]="","",VLOOKUP(Table13[[#This Row],[Product ID]],data,3,FALSE))</f>
        <v/>
      </c>
      <c r="D182" s="7" t="str">
        <f>IF(Table13[[#This Row],[Product ID]]="","",VLOOKUP(Table13[[#This Row],[Product ID]],data,4,FALSE))</f>
        <v/>
      </c>
      <c r="E182" s="7"/>
      <c r="F182" s="7" t="str">
        <f>IF(Table13[[#This Row],[Product ID]]="","",PRODUCT(Table13[[#This Row],[Unit ]]*Table13[[#This Row],[Qty]]))</f>
        <v/>
      </c>
      <c r="G182" s="4"/>
    </row>
    <row r="183" spans="1:7" ht="30" customHeight="1" x14ac:dyDescent="0.3">
      <c r="A183" s="4"/>
      <c r="B183" s="4" t="str">
        <f>IF(Table13[[#This Row],[Product ID]]="","",VLOOKUP(Table13[[#This Row],[Product ID]],data,2,FALSE))</f>
        <v/>
      </c>
      <c r="C183" s="4" t="str">
        <f>IF(Table13[[#This Row],[Product ID]]="","",VLOOKUP(Table13[[#This Row],[Product ID]],data,3,FALSE))</f>
        <v/>
      </c>
      <c r="D183" s="7" t="str">
        <f>IF(Table13[[#This Row],[Product ID]]="","",VLOOKUP(Table13[[#This Row],[Product ID]],data,4,FALSE))</f>
        <v/>
      </c>
      <c r="E183" s="7"/>
      <c r="F183" s="7" t="str">
        <f>IF(Table13[[#This Row],[Product ID]]="","",PRODUCT(Table13[[#This Row],[Unit ]]*Table13[[#This Row],[Qty]]))</f>
        <v/>
      </c>
      <c r="G183" s="4"/>
    </row>
    <row r="184" spans="1:7" ht="30" customHeight="1" x14ac:dyDescent="0.3">
      <c r="A184" s="4"/>
      <c r="B184" s="4" t="str">
        <f>IF(Table13[[#This Row],[Product ID]]="","",VLOOKUP(Table13[[#This Row],[Product ID]],data,2,FALSE))</f>
        <v/>
      </c>
      <c r="C184" s="4" t="str">
        <f>IF(Table13[[#This Row],[Product ID]]="","",VLOOKUP(Table13[[#This Row],[Product ID]],data,3,FALSE))</f>
        <v/>
      </c>
      <c r="D184" s="7" t="str">
        <f>IF(Table13[[#This Row],[Product ID]]="","",VLOOKUP(Table13[[#This Row],[Product ID]],data,4,FALSE))</f>
        <v/>
      </c>
      <c r="E184" s="7"/>
      <c r="F184" s="7" t="str">
        <f>IF(Table13[[#This Row],[Product ID]]="","",PRODUCT(Table13[[#This Row],[Unit ]]*Table13[[#This Row],[Qty]]))</f>
        <v/>
      </c>
      <c r="G184" s="4"/>
    </row>
    <row r="185" spans="1:7" ht="30" customHeight="1" x14ac:dyDescent="0.3">
      <c r="A185" s="4"/>
      <c r="B185" s="4" t="str">
        <f>IF(Table13[[#This Row],[Product ID]]="","",VLOOKUP(Table13[[#This Row],[Product ID]],data,2,FALSE))</f>
        <v/>
      </c>
      <c r="C185" s="4" t="str">
        <f>IF(Table13[[#This Row],[Product ID]]="","",VLOOKUP(Table13[[#This Row],[Product ID]],data,3,FALSE))</f>
        <v/>
      </c>
      <c r="D185" s="7" t="str">
        <f>IF(Table13[[#This Row],[Product ID]]="","",VLOOKUP(Table13[[#This Row],[Product ID]],data,4,FALSE))</f>
        <v/>
      </c>
      <c r="E185" s="7"/>
      <c r="F185" s="7" t="str">
        <f>IF(Table13[[#This Row],[Product ID]]="","",PRODUCT(Table13[[#This Row],[Unit ]]*Table13[[#This Row],[Qty]]))</f>
        <v/>
      </c>
      <c r="G185" s="4"/>
    </row>
    <row r="186" spans="1:7" ht="30" customHeight="1" x14ac:dyDescent="0.3">
      <c r="A186" s="4"/>
      <c r="B186" s="4" t="str">
        <f>IF(Table13[[#This Row],[Product ID]]="","",VLOOKUP(Table13[[#This Row],[Product ID]],data,2,FALSE))</f>
        <v/>
      </c>
      <c r="C186" s="4" t="str">
        <f>IF(Table13[[#This Row],[Product ID]]="","",VLOOKUP(Table13[[#This Row],[Product ID]],data,3,FALSE))</f>
        <v/>
      </c>
      <c r="D186" s="7" t="str">
        <f>IF(Table13[[#This Row],[Product ID]]="","",VLOOKUP(Table13[[#This Row],[Product ID]],data,4,FALSE))</f>
        <v/>
      </c>
      <c r="E186" s="7"/>
      <c r="F186" s="7" t="str">
        <f>IF(Table13[[#This Row],[Product ID]]="","",PRODUCT(Table13[[#This Row],[Unit ]]*Table13[[#This Row],[Qty]]))</f>
        <v/>
      </c>
      <c r="G186" s="4"/>
    </row>
    <row r="187" spans="1:7" ht="30" customHeight="1" x14ac:dyDescent="0.3">
      <c r="A187" s="4"/>
      <c r="B187" s="4" t="str">
        <f>IF(Table13[[#This Row],[Product ID]]="","",VLOOKUP(Table13[[#This Row],[Product ID]],data,2,FALSE))</f>
        <v/>
      </c>
      <c r="C187" s="4" t="str">
        <f>IF(Table13[[#This Row],[Product ID]]="","",VLOOKUP(Table13[[#This Row],[Product ID]],data,3,FALSE))</f>
        <v/>
      </c>
      <c r="D187" s="7" t="str">
        <f>IF(Table13[[#This Row],[Product ID]]="","",VLOOKUP(Table13[[#This Row],[Product ID]],data,4,FALSE))</f>
        <v/>
      </c>
      <c r="E187" s="7"/>
      <c r="F187" s="7" t="str">
        <f>IF(Table13[[#This Row],[Product ID]]="","",PRODUCT(Table13[[#This Row],[Unit ]]*Table13[[#This Row],[Qty]]))</f>
        <v/>
      </c>
      <c r="G187" s="4"/>
    </row>
    <row r="188" spans="1:7" ht="30" customHeight="1" x14ac:dyDescent="0.3">
      <c r="A188" s="4"/>
      <c r="B188" s="4" t="str">
        <f>IF(Table13[[#This Row],[Product ID]]="","",VLOOKUP(Table13[[#This Row],[Product ID]],data,2,FALSE))</f>
        <v/>
      </c>
      <c r="C188" s="4" t="str">
        <f>IF(Table13[[#This Row],[Product ID]]="","",VLOOKUP(Table13[[#This Row],[Product ID]],data,3,FALSE))</f>
        <v/>
      </c>
      <c r="D188" s="7" t="str">
        <f>IF(Table13[[#This Row],[Product ID]]="","",VLOOKUP(Table13[[#This Row],[Product ID]],data,4,FALSE))</f>
        <v/>
      </c>
      <c r="E188" s="7"/>
      <c r="F188" s="7" t="str">
        <f>IF(Table13[[#This Row],[Product ID]]="","",PRODUCT(Table13[[#This Row],[Unit ]]*Table13[[#This Row],[Qty]]))</f>
        <v/>
      </c>
      <c r="G188" s="4"/>
    </row>
    <row r="189" spans="1:7" ht="30" customHeight="1" x14ac:dyDescent="0.3">
      <c r="A189" s="4"/>
      <c r="B189" s="4" t="str">
        <f>IF(Table13[[#This Row],[Product ID]]="","",VLOOKUP(Table13[[#This Row],[Product ID]],data,2,FALSE))</f>
        <v/>
      </c>
      <c r="C189" s="4" t="str">
        <f>IF(Table13[[#This Row],[Product ID]]="","",VLOOKUP(Table13[[#This Row],[Product ID]],data,3,FALSE))</f>
        <v/>
      </c>
      <c r="D189" s="7" t="str">
        <f>IF(Table13[[#This Row],[Product ID]]="","",VLOOKUP(Table13[[#This Row],[Product ID]],data,4,FALSE))</f>
        <v/>
      </c>
      <c r="E189" s="7"/>
      <c r="F189" s="7" t="str">
        <f>IF(Table13[[#This Row],[Product ID]]="","",PRODUCT(Table13[[#This Row],[Unit ]]*Table13[[#This Row],[Qty]]))</f>
        <v/>
      </c>
      <c r="G189" s="4"/>
    </row>
    <row r="190" spans="1:7" ht="30" customHeight="1" x14ac:dyDescent="0.3">
      <c r="A190" s="4"/>
      <c r="B190" s="4" t="str">
        <f>IF(Table13[[#This Row],[Product ID]]="","",VLOOKUP(Table13[[#This Row],[Product ID]],data,2,FALSE))</f>
        <v/>
      </c>
      <c r="C190" s="4" t="str">
        <f>IF(Table13[[#This Row],[Product ID]]="","",VLOOKUP(Table13[[#This Row],[Product ID]],data,3,FALSE))</f>
        <v/>
      </c>
      <c r="D190" s="7" t="str">
        <f>IF(Table13[[#This Row],[Product ID]]="","",VLOOKUP(Table13[[#This Row],[Product ID]],data,4,FALSE))</f>
        <v/>
      </c>
      <c r="E190" s="7"/>
      <c r="F190" s="7" t="str">
        <f>IF(Table13[[#This Row],[Product ID]]="","",PRODUCT(Table13[[#This Row],[Unit ]]*Table13[[#This Row],[Qty]]))</f>
        <v/>
      </c>
      <c r="G190" s="4"/>
    </row>
    <row r="191" spans="1:7" ht="30" customHeight="1" x14ac:dyDescent="0.3">
      <c r="A191" s="4"/>
      <c r="B191" s="4" t="str">
        <f>IF(Table13[[#This Row],[Product ID]]="","",VLOOKUP(Table13[[#This Row],[Product ID]],data,2,FALSE))</f>
        <v/>
      </c>
      <c r="C191" s="4" t="str">
        <f>IF(Table13[[#This Row],[Product ID]]="","",VLOOKUP(Table13[[#This Row],[Product ID]],data,3,FALSE))</f>
        <v/>
      </c>
      <c r="D191" s="7" t="str">
        <f>IF(Table13[[#This Row],[Product ID]]="","",VLOOKUP(Table13[[#This Row],[Product ID]],data,4,FALSE))</f>
        <v/>
      </c>
      <c r="E191" s="7"/>
      <c r="F191" s="7" t="str">
        <f>IF(Table13[[#This Row],[Product ID]]="","",PRODUCT(Table13[[#This Row],[Unit ]]*Table13[[#This Row],[Qty]]))</f>
        <v/>
      </c>
      <c r="G191" s="4"/>
    </row>
    <row r="192" spans="1:7" ht="30" customHeight="1" x14ac:dyDescent="0.3">
      <c r="A192" s="4">
        <v>1001</v>
      </c>
      <c r="B192" s="4" t="s">
        <v>8</v>
      </c>
      <c r="C192" s="4" t="str">
        <f>IF(Table13[[#This Row],[Product ID]]="","",VLOOKUP(Table13[[#This Row],[Product ID]],data,3,FALSE))</f>
        <v>FRUITS</v>
      </c>
      <c r="D192" s="7">
        <f>IF(Table13[[#This Row],[Product ID]]="","",VLOOKUP(Table13[[#This Row],[Product ID]],data,4,FALSE))</f>
        <v>9</v>
      </c>
      <c r="E192" s="7">
        <v>12</v>
      </c>
      <c r="F192" s="7">
        <f>IF(Table13[[#This Row],[Product ID]]="","",PRODUCT(Table13[[#This Row],[Unit ]]*Table13[[#This Row],[Qty]]))</f>
        <v>108</v>
      </c>
      <c r="G192" s="4"/>
    </row>
    <row r="193" spans="1:7" ht="30" customHeight="1" x14ac:dyDescent="0.3">
      <c r="A193" s="4">
        <v>1002</v>
      </c>
      <c r="B193" s="4" t="s">
        <v>13</v>
      </c>
      <c r="C193" s="4" t="str">
        <f>IF(Table13[[#This Row],[Product ID]]="","",VLOOKUP(Table13[[#This Row],[Product ID]],data,3,FALSE))</f>
        <v>BISCUIT</v>
      </c>
      <c r="D193" s="7">
        <f>IF(Table13[[#This Row],[Product ID]]="","",VLOOKUP(Table13[[#This Row],[Product ID]],data,4,FALSE))</f>
        <v>9</v>
      </c>
      <c r="E193" s="7">
        <v>120</v>
      </c>
      <c r="F193" s="7">
        <f>IF(Table13[[#This Row],[Product ID]]="","",PRODUCT(Table13[[#This Row],[Unit ]]*Table13[[#This Row],[Qty]]))</f>
        <v>1080</v>
      </c>
      <c r="G193" s="4"/>
    </row>
    <row r="194" spans="1:7" ht="30" customHeight="1" x14ac:dyDescent="0.3">
      <c r="A194" s="4">
        <v>1005</v>
      </c>
      <c r="B194" s="4" t="s">
        <v>17</v>
      </c>
      <c r="C194" s="4" t="str">
        <f>IF(Table13[[#This Row],[Product ID]]="","",VLOOKUP(Table13[[#This Row],[Product ID]],data,3,FALSE))</f>
        <v>SOFTDRINKS</v>
      </c>
      <c r="D194" s="7">
        <f>IF(Table13[[#This Row],[Product ID]]="","",VLOOKUP(Table13[[#This Row],[Product ID]],data,4,FALSE))</f>
        <v>21</v>
      </c>
      <c r="E194" s="7">
        <v>12</v>
      </c>
      <c r="F194" s="7">
        <f>IF(Table13[[#This Row],[Product ID]]="","",PRODUCT(Table13[[#This Row],[Unit ]]*Table13[[#This Row],[Qty]]))</f>
        <v>252</v>
      </c>
      <c r="G194" s="4"/>
    </row>
    <row r="195" spans="1:7" ht="30" customHeight="1" x14ac:dyDescent="0.3">
      <c r="A195" s="4">
        <v>1003</v>
      </c>
      <c r="B195" s="4" t="s">
        <v>14</v>
      </c>
      <c r="C195" s="4"/>
      <c r="D195" s="7">
        <f>IF(Table13[[#This Row],[Product ID]]="","",VLOOKUP(Table13[[#This Row],[Product ID]],data,4,FALSE))</f>
        <v>10</v>
      </c>
      <c r="E195" s="7"/>
      <c r="F195" s="7">
        <f>IF(Table13[[#This Row],[Product ID]]="","",PRODUCT(Table13[[#This Row],[Unit ]]*Table13[[#This Row],[Qty]]))</f>
        <v>0</v>
      </c>
      <c r="G195" s="4"/>
    </row>
    <row r="196" spans="1:7" ht="30" customHeight="1" x14ac:dyDescent="0.3">
      <c r="A196" s="4">
        <v>1001</v>
      </c>
      <c r="B196" s="4" t="s">
        <v>8</v>
      </c>
      <c r="C196" s="4"/>
      <c r="D196" s="7">
        <f>IF(Table13[[#This Row],[Product ID]]="","",VLOOKUP(Table13[[#This Row],[Product ID]],data,4,FALSE))</f>
        <v>9</v>
      </c>
      <c r="E196" s="7"/>
      <c r="F196" s="7">
        <f>IF(Table13[[#This Row],[Product ID]]="","",PRODUCT(Table13[[#This Row],[Unit ]]*Table13[[#This Row],[Qty]]))</f>
        <v>0</v>
      </c>
      <c r="G196" s="4"/>
    </row>
    <row r="197" spans="1:7" ht="30" customHeight="1" x14ac:dyDescent="0.3">
      <c r="A197" s="4">
        <v>1006</v>
      </c>
      <c r="B197" s="4" t="s">
        <v>26</v>
      </c>
      <c r="C197" s="4"/>
      <c r="D197" s="7">
        <f>IF(Table13[[#This Row],[Product ID]]="","",VLOOKUP(Table13[[#This Row],[Product ID]],data,4,FALSE))</f>
        <v>2</v>
      </c>
      <c r="E197" s="7"/>
      <c r="F197" s="7">
        <f>IF(Table13[[#This Row],[Product ID]]="","",PRODUCT(Table13[[#This Row],[Unit ]]*Table13[[#This Row],[Qty]]))</f>
        <v>0</v>
      </c>
      <c r="G197" s="4"/>
    </row>
  </sheetData>
  <conditionalFormatting sqref="A2:G197">
    <cfRule type="containsBlanks" dxfId="40" priority="3">
      <formula>LEN(TRIM(A2))=0</formula>
    </cfRule>
    <cfRule type="notContainsBlanks" dxfId="39" priority="4">
      <formula>LEN(TRIM(A2))&gt;0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F32D3-2D32-4418-BEC8-CA698B408C31}">
  <sheetPr codeName="Sheet4">
    <tabColor theme="7" tint="0.39997558519241921"/>
  </sheetPr>
  <dimension ref="A1:H191"/>
  <sheetViews>
    <sheetView showGridLines="0" workbookViewId="0">
      <pane ySplit="1" topLeftCell="A2" activePane="bottomLeft" state="frozen"/>
      <selection pane="bottomLeft" activeCell="D7" sqref="D7"/>
    </sheetView>
  </sheetViews>
  <sheetFormatPr defaultColWidth="20.77734375" defaultRowHeight="30" customHeight="1" x14ac:dyDescent="0.3"/>
  <cols>
    <col min="1" max="1" width="8.88671875" style="2" customWidth="1"/>
    <col min="2" max="4" width="20.77734375" style="2"/>
    <col min="5" max="7" width="20.77734375" style="8"/>
    <col min="8" max="8" width="20.77734375" style="2"/>
    <col min="9" max="16384" width="20.77734375" style="1"/>
  </cols>
  <sheetData>
    <row r="1" spans="1:8" ht="30" customHeight="1" x14ac:dyDescent="0.3">
      <c r="A1" s="3" t="s">
        <v>5</v>
      </c>
      <c r="B1" s="3" t="s">
        <v>0</v>
      </c>
      <c r="C1" s="3" t="s">
        <v>1</v>
      </c>
      <c r="D1" s="3" t="s">
        <v>2</v>
      </c>
      <c r="E1" s="6" t="s">
        <v>3</v>
      </c>
      <c r="F1" s="6" t="s">
        <v>10</v>
      </c>
      <c r="G1" s="6" t="s">
        <v>12</v>
      </c>
      <c r="H1" s="3" t="s">
        <v>6</v>
      </c>
    </row>
    <row r="2" spans="1:8" ht="30" customHeight="1" x14ac:dyDescent="0.3">
      <c r="A2" s="4"/>
      <c r="B2" s="4"/>
      <c r="C2" s="4"/>
      <c r="D2" s="4"/>
      <c r="E2" s="7"/>
      <c r="F2" s="7"/>
      <c r="G2" s="9" t="str">
        <f>IF(Table134[[#This Row],[Product ID]]="","","*"&amp;Table134[[#This Row],[Product ID]]&amp;"*")</f>
        <v/>
      </c>
      <c r="H2" s="4"/>
    </row>
    <row r="3" spans="1:8" ht="30" customHeight="1" x14ac:dyDescent="0.3">
      <c r="A3" s="4"/>
      <c r="B3" s="4"/>
      <c r="C3" s="4"/>
      <c r="D3" s="4"/>
      <c r="E3" s="7"/>
      <c r="F3" s="7"/>
      <c r="G3" s="9" t="str">
        <f>IF(Table134[[#This Row],[Product ID]]="","","*"&amp;Table134[[#This Row],[Product ID]]&amp;"*")</f>
        <v/>
      </c>
      <c r="H3" s="4"/>
    </row>
    <row r="4" spans="1:8" ht="30" customHeight="1" x14ac:dyDescent="0.3">
      <c r="A4" s="4"/>
      <c r="B4" s="4"/>
      <c r="C4" s="4"/>
      <c r="D4" s="4"/>
      <c r="E4" s="7"/>
      <c r="F4" s="7"/>
      <c r="G4" s="9" t="str">
        <f>IF(Table134[[#This Row],[Product ID]]="","","*"&amp;Table134[[#This Row],[Product ID]]&amp;"*")</f>
        <v/>
      </c>
      <c r="H4" s="4"/>
    </row>
    <row r="5" spans="1:8" ht="30" customHeight="1" x14ac:dyDescent="0.3">
      <c r="A5" s="4"/>
      <c r="B5" s="4"/>
      <c r="C5" s="4"/>
      <c r="D5" s="4"/>
      <c r="E5" s="7"/>
      <c r="F5" s="7"/>
      <c r="G5" s="9" t="str">
        <f>IF(Table134[[#This Row],[Product ID]]="","","*"&amp;Table134[[#This Row],[Product ID]]&amp;"*")</f>
        <v/>
      </c>
      <c r="H5" s="5"/>
    </row>
    <row r="6" spans="1:8" ht="30" customHeight="1" x14ac:dyDescent="0.3">
      <c r="A6" s="4"/>
      <c r="B6" s="4"/>
      <c r="C6" s="4"/>
      <c r="D6" s="4"/>
      <c r="E6" s="7"/>
      <c r="F6" s="7"/>
      <c r="G6" s="9" t="str">
        <f>IF(Table134[[#This Row],[Product ID]]="","","*"&amp;Table134[[#This Row],[Product ID]]&amp;"*")</f>
        <v/>
      </c>
      <c r="H6" s="4"/>
    </row>
    <row r="7" spans="1:8" ht="30" customHeight="1" x14ac:dyDescent="0.3">
      <c r="A7" s="4"/>
      <c r="B7" s="4"/>
      <c r="C7" s="4"/>
      <c r="D7" s="4"/>
      <c r="E7" s="7"/>
      <c r="F7" s="7"/>
      <c r="G7" s="9" t="str">
        <f>IF(Table134[[#This Row],[Product ID]]="","","*"&amp;Table134[[#This Row],[Product ID]]&amp;"*")</f>
        <v/>
      </c>
      <c r="H7" s="4"/>
    </row>
    <row r="8" spans="1:8" ht="30" customHeight="1" x14ac:dyDescent="0.3">
      <c r="A8" s="4"/>
      <c r="B8" s="4"/>
      <c r="C8" s="4"/>
      <c r="D8" s="4"/>
      <c r="E8" s="7"/>
      <c r="F8" s="7"/>
      <c r="G8" s="9" t="str">
        <f>IF(Table134[[#This Row],[Product ID]]="","","*"&amp;Table134[[#This Row],[Product ID]]&amp;"*")</f>
        <v/>
      </c>
      <c r="H8" s="4"/>
    </row>
    <row r="9" spans="1:8" ht="30" customHeight="1" x14ac:dyDescent="0.3">
      <c r="A9" s="4"/>
      <c r="B9" s="4"/>
      <c r="C9" s="4"/>
      <c r="D9" s="4"/>
      <c r="E9" s="7"/>
      <c r="F9" s="7"/>
      <c r="G9" s="9" t="str">
        <f>IF(Table134[[#This Row],[Product ID]]="","","*"&amp;Table134[[#This Row],[Product ID]]&amp;"*")</f>
        <v/>
      </c>
      <c r="H9" s="4"/>
    </row>
    <row r="10" spans="1:8" ht="30" customHeight="1" x14ac:dyDescent="0.3">
      <c r="A10" s="4"/>
      <c r="B10" s="4"/>
      <c r="C10" s="4"/>
      <c r="D10" s="4"/>
      <c r="E10" s="7"/>
      <c r="F10" s="7"/>
      <c r="G10" s="9" t="str">
        <f>IF(Table134[[#This Row],[Product ID]]="","","*"&amp;Table134[[#This Row],[Product ID]]&amp;"*")</f>
        <v/>
      </c>
      <c r="H10" s="4"/>
    </row>
    <row r="11" spans="1:8" ht="30" customHeight="1" x14ac:dyDescent="0.3">
      <c r="A11" s="4"/>
      <c r="B11" s="4"/>
      <c r="C11" s="4"/>
      <c r="D11" s="4"/>
      <c r="E11" s="7"/>
      <c r="F11" s="7"/>
      <c r="G11" s="9" t="str">
        <f>IF(Table134[[#This Row],[Product ID]]="","","*"&amp;Table134[[#This Row],[Product ID]]&amp;"*")</f>
        <v/>
      </c>
      <c r="H11" s="4"/>
    </row>
    <row r="12" spans="1:8" ht="30" customHeight="1" x14ac:dyDescent="0.3">
      <c r="A12" s="4"/>
      <c r="B12" s="4"/>
      <c r="C12" s="4"/>
      <c r="D12" s="4"/>
      <c r="E12" s="7"/>
      <c r="F12" s="7"/>
      <c r="G12" s="9" t="str">
        <f>IF(Table134[[#This Row],[Product ID]]="","","*"&amp;Table134[[#This Row],[Product ID]]&amp;"*")</f>
        <v/>
      </c>
      <c r="H12" s="4"/>
    </row>
    <row r="13" spans="1:8" ht="30" customHeight="1" x14ac:dyDescent="0.3">
      <c r="A13" s="4"/>
      <c r="B13" s="4"/>
      <c r="C13" s="4"/>
      <c r="D13" s="4"/>
      <c r="E13" s="7"/>
      <c r="F13" s="7"/>
      <c r="G13" s="9" t="str">
        <f>IF(Table134[[#This Row],[Product ID]]="","","*"&amp;Table134[[#This Row],[Product ID]]&amp;"*")</f>
        <v/>
      </c>
      <c r="H13" s="4"/>
    </row>
    <row r="14" spans="1:8" ht="30" customHeight="1" x14ac:dyDescent="0.3">
      <c r="A14" s="4"/>
      <c r="B14" s="4"/>
      <c r="C14" s="4"/>
      <c r="D14" s="4"/>
      <c r="E14" s="7"/>
      <c r="F14" s="7"/>
      <c r="G14" s="9" t="str">
        <f>IF(Table134[[#This Row],[Product ID]]="","","*"&amp;Table134[[#This Row],[Product ID]]&amp;"*")</f>
        <v/>
      </c>
      <c r="H14" s="4"/>
    </row>
    <row r="15" spans="1:8" ht="30" customHeight="1" x14ac:dyDescent="0.3">
      <c r="A15" s="4"/>
      <c r="B15" s="4"/>
      <c r="C15" s="4"/>
      <c r="D15" s="4"/>
      <c r="E15" s="7"/>
      <c r="F15" s="7"/>
      <c r="G15" s="9" t="str">
        <f>IF(Table134[[#This Row],[Product ID]]="","","*"&amp;Table134[[#This Row],[Product ID]]&amp;"*")</f>
        <v/>
      </c>
      <c r="H15" s="4"/>
    </row>
    <row r="16" spans="1:8" ht="30" customHeight="1" x14ac:dyDescent="0.3">
      <c r="A16" s="4"/>
      <c r="B16" s="4"/>
      <c r="C16" s="4"/>
      <c r="D16" s="4"/>
      <c r="E16" s="7"/>
      <c r="F16" s="7"/>
      <c r="G16" s="9" t="str">
        <f>IF(Table134[[#This Row],[Product ID]]="","","*"&amp;Table134[[#This Row],[Product ID]]&amp;"*")</f>
        <v/>
      </c>
      <c r="H16" s="4"/>
    </row>
    <row r="17" spans="1:8" ht="30" customHeight="1" x14ac:dyDescent="0.3">
      <c r="A17" s="4"/>
      <c r="B17" s="4"/>
      <c r="C17" s="4"/>
      <c r="D17" s="4"/>
      <c r="E17" s="7"/>
      <c r="F17" s="7"/>
      <c r="G17" s="9" t="str">
        <f>IF(Table134[[#This Row],[Product ID]]="","","*"&amp;Table134[[#This Row],[Product ID]]&amp;"*")</f>
        <v/>
      </c>
      <c r="H17" s="4"/>
    </row>
    <row r="18" spans="1:8" ht="30" customHeight="1" x14ac:dyDescent="0.3">
      <c r="A18" s="4"/>
      <c r="B18" s="4"/>
      <c r="C18" s="4"/>
      <c r="D18" s="4"/>
      <c r="E18" s="7"/>
      <c r="F18" s="7"/>
      <c r="G18" s="9" t="str">
        <f>IF(Table134[[#This Row],[Product ID]]="","","*"&amp;Table134[[#This Row],[Product ID]]&amp;"*")</f>
        <v/>
      </c>
      <c r="H18" s="4"/>
    </row>
    <row r="19" spans="1:8" ht="30" customHeight="1" x14ac:dyDescent="0.3">
      <c r="A19" s="4"/>
      <c r="B19" s="4"/>
      <c r="C19" s="4"/>
      <c r="D19" s="4"/>
      <c r="E19" s="7"/>
      <c r="F19" s="7"/>
      <c r="G19" s="9" t="str">
        <f>IF(Table134[[#This Row],[Product ID]]="","","*"&amp;Table134[[#This Row],[Product ID]]&amp;"*")</f>
        <v/>
      </c>
      <c r="H19" s="4"/>
    </row>
    <row r="20" spans="1:8" ht="30" customHeight="1" x14ac:dyDescent="0.3">
      <c r="A20" s="4"/>
      <c r="B20" s="4"/>
      <c r="C20" s="4"/>
      <c r="D20" s="4"/>
      <c r="E20" s="7"/>
      <c r="F20" s="7"/>
      <c r="G20" s="9" t="str">
        <f>IF(Table134[[#This Row],[Product ID]]="","","*"&amp;Table134[[#This Row],[Product ID]]&amp;"*")</f>
        <v/>
      </c>
      <c r="H20" s="4"/>
    </row>
    <row r="21" spans="1:8" ht="30" customHeight="1" x14ac:dyDescent="0.3">
      <c r="A21" s="4"/>
      <c r="B21" s="4"/>
      <c r="C21" s="4"/>
      <c r="D21" s="4"/>
      <c r="E21" s="7"/>
      <c r="F21" s="7"/>
      <c r="G21" s="9" t="str">
        <f>IF(Table134[[#This Row],[Product ID]]="","","*"&amp;Table134[[#This Row],[Product ID]]&amp;"*")</f>
        <v/>
      </c>
      <c r="H21" s="4"/>
    </row>
    <row r="22" spans="1:8" ht="30" customHeight="1" x14ac:dyDescent="0.3">
      <c r="A22" s="4"/>
      <c r="B22" s="4"/>
      <c r="C22" s="4"/>
      <c r="D22" s="4"/>
      <c r="E22" s="7"/>
      <c r="F22" s="7"/>
      <c r="G22" s="9" t="str">
        <f>IF(Table134[[#This Row],[Product ID]]="","","*"&amp;Table134[[#This Row],[Product ID]]&amp;"*")</f>
        <v/>
      </c>
      <c r="H22" s="4"/>
    </row>
    <row r="23" spans="1:8" ht="30" customHeight="1" x14ac:dyDescent="0.3">
      <c r="A23" s="4"/>
      <c r="B23" s="4"/>
      <c r="C23" s="4"/>
      <c r="D23" s="4"/>
      <c r="E23" s="7"/>
      <c r="F23" s="7"/>
      <c r="G23" s="9" t="str">
        <f>IF(Table134[[#This Row],[Product ID]]="","","*"&amp;Table134[[#This Row],[Product ID]]&amp;"*")</f>
        <v/>
      </c>
      <c r="H23" s="4"/>
    </row>
    <row r="24" spans="1:8" ht="30" customHeight="1" x14ac:dyDescent="0.3">
      <c r="A24" s="4"/>
      <c r="B24" s="4"/>
      <c r="C24" s="4"/>
      <c r="D24" s="4"/>
      <c r="E24" s="7"/>
      <c r="F24" s="7"/>
      <c r="G24" s="9" t="str">
        <f>IF(Table134[[#This Row],[Product ID]]="","","*"&amp;Table134[[#This Row],[Product ID]]&amp;"*")</f>
        <v/>
      </c>
      <c r="H24" s="4"/>
    </row>
    <row r="25" spans="1:8" ht="30" customHeight="1" x14ac:dyDescent="0.3">
      <c r="A25" s="4"/>
      <c r="B25" s="4"/>
      <c r="C25" s="4"/>
      <c r="D25" s="4"/>
      <c r="E25" s="7"/>
      <c r="F25" s="7"/>
      <c r="G25" s="9" t="str">
        <f>IF(Table134[[#This Row],[Product ID]]="","","*"&amp;Table134[[#This Row],[Product ID]]&amp;"*")</f>
        <v/>
      </c>
      <c r="H25" s="4"/>
    </row>
    <row r="26" spans="1:8" ht="30" customHeight="1" x14ac:dyDescent="0.3">
      <c r="A26" s="4"/>
      <c r="B26" s="4"/>
      <c r="C26" s="4"/>
      <c r="D26" s="4"/>
      <c r="E26" s="7"/>
      <c r="F26" s="7"/>
      <c r="G26" s="9" t="str">
        <f>IF(Table134[[#This Row],[Product ID]]="","","*"&amp;Table134[[#This Row],[Product ID]]&amp;"*")</f>
        <v/>
      </c>
      <c r="H26" s="4"/>
    </row>
    <row r="27" spans="1:8" ht="30" customHeight="1" x14ac:dyDescent="0.3">
      <c r="A27" s="4"/>
      <c r="B27" s="4"/>
      <c r="C27" s="4"/>
      <c r="D27" s="4"/>
      <c r="E27" s="7"/>
      <c r="F27" s="7"/>
      <c r="G27" s="9" t="str">
        <f>IF(Table134[[#This Row],[Product ID]]="","","*"&amp;Table134[[#This Row],[Product ID]]&amp;"*")</f>
        <v/>
      </c>
      <c r="H27" s="4"/>
    </row>
    <row r="28" spans="1:8" ht="30" customHeight="1" x14ac:dyDescent="0.3">
      <c r="A28" s="4"/>
      <c r="B28" s="4"/>
      <c r="C28" s="4"/>
      <c r="D28" s="4"/>
      <c r="E28" s="7"/>
      <c r="F28" s="7"/>
      <c r="G28" s="9" t="str">
        <f>IF(Table134[[#This Row],[Product ID]]="","","*"&amp;Table134[[#This Row],[Product ID]]&amp;"*")</f>
        <v/>
      </c>
      <c r="H28" s="4"/>
    </row>
    <row r="29" spans="1:8" ht="30" customHeight="1" x14ac:dyDescent="0.3">
      <c r="A29" s="4"/>
      <c r="B29" s="4"/>
      <c r="C29" s="4"/>
      <c r="D29" s="4"/>
      <c r="E29" s="7"/>
      <c r="F29" s="7"/>
      <c r="G29" s="9" t="str">
        <f>IF(Table134[[#This Row],[Product ID]]="","","*"&amp;Table134[[#This Row],[Product ID]]&amp;"*")</f>
        <v/>
      </c>
      <c r="H29" s="4"/>
    </row>
    <row r="30" spans="1:8" ht="30" customHeight="1" x14ac:dyDescent="0.3">
      <c r="A30" s="4"/>
      <c r="B30" s="4"/>
      <c r="C30" s="4"/>
      <c r="D30" s="4"/>
      <c r="E30" s="7"/>
      <c r="F30" s="7"/>
      <c r="G30" s="9" t="str">
        <f>IF(Table134[[#This Row],[Product ID]]="","","*"&amp;Table134[[#This Row],[Product ID]]&amp;"*")</f>
        <v/>
      </c>
      <c r="H30" s="4"/>
    </row>
    <row r="31" spans="1:8" ht="30" customHeight="1" x14ac:dyDescent="0.3">
      <c r="A31" s="4"/>
      <c r="B31" s="4"/>
      <c r="C31" s="4"/>
      <c r="D31" s="4"/>
      <c r="E31" s="7"/>
      <c r="F31" s="7"/>
      <c r="G31" s="9" t="str">
        <f>IF(Table134[[#This Row],[Product ID]]="","","*"&amp;Table134[[#This Row],[Product ID]]&amp;"*")</f>
        <v/>
      </c>
      <c r="H31" s="4"/>
    </row>
    <row r="32" spans="1:8" ht="30" customHeight="1" x14ac:dyDescent="0.3">
      <c r="A32" s="4"/>
      <c r="B32" s="4"/>
      <c r="C32" s="4"/>
      <c r="D32" s="4"/>
      <c r="E32" s="7"/>
      <c r="F32" s="7"/>
      <c r="G32" s="9" t="str">
        <f>IF(Table134[[#This Row],[Product ID]]="","","*"&amp;Table134[[#This Row],[Product ID]]&amp;"*")</f>
        <v/>
      </c>
      <c r="H32" s="4"/>
    </row>
    <row r="33" spans="1:8" ht="30" customHeight="1" x14ac:dyDescent="0.3">
      <c r="A33" s="4"/>
      <c r="B33" s="4"/>
      <c r="C33" s="4"/>
      <c r="D33" s="4"/>
      <c r="E33" s="7"/>
      <c r="F33" s="7"/>
      <c r="G33" s="9" t="str">
        <f>IF(Table134[[#This Row],[Product ID]]="","","*"&amp;Table134[[#This Row],[Product ID]]&amp;"*")</f>
        <v/>
      </c>
      <c r="H33" s="4"/>
    </row>
    <row r="34" spans="1:8" ht="30" customHeight="1" x14ac:dyDescent="0.3">
      <c r="A34" s="4"/>
      <c r="B34" s="4"/>
      <c r="C34" s="4"/>
      <c r="D34" s="4"/>
      <c r="E34" s="7"/>
      <c r="F34" s="7"/>
      <c r="G34" s="9" t="str">
        <f>IF(Table134[[#This Row],[Product ID]]="","","*"&amp;Table134[[#This Row],[Product ID]]&amp;"*")</f>
        <v/>
      </c>
      <c r="H34" s="4"/>
    </row>
    <row r="35" spans="1:8" ht="30" customHeight="1" x14ac:dyDescent="0.3">
      <c r="A35" s="4"/>
      <c r="B35" s="4"/>
      <c r="C35" s="4"/>
      <c r="D35" s="4"/>
      <c r="E35" s="7"/>
      <c r="F35" s="7"/>
      <c r="G35" s="9" t="str">
        <f>IF(Table134[[#This Row],[Product ID]]="","","*"&amp;Table134[[#This Row],[Product ID]]&amp;"*")</f>
        <v/>
      </c>
      <c r="H35" s="4"/>
    </row>
    <row r="36" spans="1:8" ht="30" customHeight="1" x14ac:dyDescent="0.3">
      <c r="A36" s="4"/>
      <c r="B36" s="4"/>
      <c r="C36" s="4"/>
      <c r="D36" s="4"/>
      <c r="E36" s="7"/>
      <c r="F36" s="7"/>
      <c r="G36" s="9" t="str">
        <f>IF(Table134[[#This Row],[Product ID]]="","","*"&amp;Table134[[#This Row],[Product ID]]&amp;"*")</f>
        <v/>
      </c>
      <c r="H36" s="4"/>
    </row>
    <row r="37" spans="1:8" ht="30" customHeight="1" x14ac:dyDescent="0.3">
      <c r="A37" s="4"/>
      <c r="B37" s="4"/>
      <c r="C37" s="4"/>
      <c r="D37" s="4"/>
      <c r="E37" s="7"/>
      <c r="F37" s="7"/>
      <c r="G37" s="9" t="str">
        <f>IF(Table134[[#This Row],[Product ID]]="","","*"&amp;Table134[[#This Row],[Product ID]]&amp;"*")</f>
        <v/>
      </c>
      <c r="H37" s="4"/>
    </row>
    <row r="38" spans="1:8" ht="30" customHeight="1" x14ac:dyDescent="0.3">
      <c r="A38" s="4"/>
      <c r="B38" s="4"/>
      <c r="C38" s="4"/>
      <c r="D38" s="4"/>
      <c r="E38" s="7"/>
      <c r="F38" s="7"/>
      <c r="G38" s="9" t="str">
        <f>IF(Table134[[#This Row],[Product ID]]="","","*"&amp;Table134[[#This Row],[Product ID]]&amp;"*")</f>
        <v/>
      </c>
      <c r="H38" s="4"/>
    </row>
    <row r="39" spans="1:8" ht="30" customHeight="1" x14ac:dyDescent="0.3">
      <c r="A39" s="4"/>
      <c r="B39" s="4"/>
      <c r="C39" s="4"/>
      <c r="D39" s="4"/>
      <c r="E39" s="7"/>
      <c r="F39" s="7"/>
      <c r="G39" s="9" t="str">
        <f>IF(Table134[[#This Row],[Product ID]]="","","*"&amp;Table134[[#This Row],[Product ID]]&amp;"*")</f>
        <v/>
      </c>
      <c r="H39" s="4"/>
    </row>
    <row r="40" spans="1:8" ht="30" customHeight="1" x14ac:dyDescent="0.3">
      <c r="A40" s="4"/>
      <c r="B40" s="4"/>
      <c r="C40" s="4"/>
      <c r="D40" s="4"/>
      <c r="E40" s="7"/>
      <c r="F40" s="7"/>
      <c r="G40" s="9" t="str">
        <f>IF(Table134[[#This Row],[Product ID]]="","","*"&amp;Table134[[#This Row],[Product ID]]&amp;"*")</f>
        <v/>
      </c>
      <c r="H40" s="4"/>
    </row>
    <row r="41" spans="1:8" ht="30" customHeight="1" x14ac:dyDescent="0.3">
      <c r="A41" s="4"/>
      <c r="B41" s="4"/>
      <c r="C41" s="4"/>
      <c r="D41" s="4"/>
      <c r="E41" s="7"/>
      <c r="F41" s="7"/>
      <c r="G41" s="9" t="str">
        <f>IF(Table134[[#This Row],[Product ID]]="","","*"&amp;Table134[[#This Row],[Product ID]]&amp;"*")</f>
        <v/>
      </c>
      <c r="H41" s="4"/>
    </row>
    <row r="42" spans="1:8" ht="30" customHeight="1" x14ac:dyDescent="0.3">
      <c r="A42" s="4"/>
      <c r="B42" s="4"/>
      <c r="C42" s="4"/>
      <c r="D42" s="4"/>
      <c r="E42" s="7"/>
      <c r="F42" s="7"/>
      <c r="G42" s="9" t="str">
        <f>IF(Table134[[#This Row],[Product ID]]="","","*"&amp;Table134[[#This Row],[Product ID]]&amp;"*")</f>
        <v/>
      </c>
      <c r="H42" s="4"/>
    </row>
    <row r="43" spans="1:8" ht="30" customHeight="1" x14ac:dyDescent="0.3">
      <c r="A43" s="4"/>
      <c r="B43" s="4"/>
      <c r="C43" s="4"/>
      <c r="D43" s="4"/>
      <c r="E43" s="7"/>
      <c r="F43" s="7"/>
      <c r="G43" s="9" t="str">
        <f>IF(Table134[[#This Row],[Product ID]]="","","*"&amp;Table134[[#This Row],[Product ID]]&amp;"*")</f>
        <v/>
      </c>
      <c r="H43" s="4"/>
    </row>
    <row r="44" spans="1:8" ht="30" customHeight="1" x14ac:dyDescent="0.3">
      <c r="A44" s="4"/>
      <c r="B44" s="4"/>
      <c r="C44" s="4"/>
      <c r="D44" s="4"/>
      <c r="E44" s="7"/>
      <c r="F44" s="7"/>
      <c r="G44" s="9" t="str">
        <f>IF(Table134[[#This Row],[Product ID]]="","","*"&amp;Table134[[#This Row],[Product ID]]&amp;"*")</f>
        <v/>
      </c>
      <c r="H44" s="4"/>
    </row>
    <row r="45" spans="1:8" ht="30" customHeight="1" x14ac:dyDescent="0.3">
      <c r="A45" s="4"/>
      <c r="B45" s="4"/>
      <c r="C45" s="4"/>
      <c r="D45" s="4"/>
      <c r="E45" s="7"/>
      <c r="F45" s="7"/>
      <c r="G45" s="9" t="str">
        <f>IF(Table134[[#This Row],[Product ID]]="","","*"&amp;Table134[[#This Row],[Product ID]]&amp;"*")</f>
        <v/>
      </c>
      <c r="H45" s="4"/>
    </row>
    <row r="46" spans="1:8" ht="30" customHeight="1" x14ac:dyDescent="0.3">
      <c r="A46" s="4"/>
      <c r="B46" s="4"/>
      <c r="C46" s="4"/>
      <c r="D46" s="4"/>
      <c r="E46" s="7"/>
      <c r="F46" s="7"/>
      <c r="G46" s="9" t="str">
        <f>IF(Table134[[#This Row],[Product ID]]="","","*"&amp;Table134[[#This Row],[Product ID]]&amp;"*")</f>
        <v/>
      </c>
      <c r="H46" s="4"/>
    </row>
    <row r="47" spans="1:8" ht="30" customHeight="1" x14ac:dyDescent="0.3">
      <c r="A47" s="4"/>
      <c r="B47" s="4"/>
      <c r="C47" s="4"/>
      <c r="D47" s="4"/>
      <c r="E47" s="7"/>
      <c r="F47" s="7"/>
      <c r="G47" s="9" t="str">
        <f>IF(Table134[[#This Row],[Product ID]]="","","*"&amp;Table134[[#This Row],[Product ID]]&amp;"*")</f>
        <v/>
      </c>
      <c r="H47" s="4"/>
    </row>
    <row r="48" spans="1:8" ht="30" customHeight="1" x14ac:dyDescent="0.3">
      <c r="A48" s="4"/>
      <c r="B48" s="4"/>
      <c r="C48" s="4"/>
      <c r="D48" s="4"/>
      <c r="E48" s="7"/>
      <c r="F48" s="7"/>
      <c r="G48" s="9" t="str">
        <f>IF(Table134[[#This Row],[Product ID]]="","","*"&amp;Table134[[#This Row],[Product ID]]&amp;"*")</f>
        <v/>
      </c>
      <c r="H48" s="4"/>
    </row>
    <row r="49" spans="1:8" ht="30" customHeight="1" x14ac:dyDescent="0.3">
      <c r="A49" s="4"/>
      <c r="B49" s="4"/>
      <c r="C49" s="4"/>
      <c r="D49" s="4"/>
      <c r="E49" s="7"/>
      <c r="F49" s="7"/>
      <c r="G49" s="9" t="str">
        <f>IF(Table134[[#This Row],[Product ID]]="","","*"&amp;Table134[[#This Row],[Product ID]]&amp;"*")</f>
        <v/>
      </c>
      <c r="H49" s="4"/>
    </row>
    <row r="50" spans="1:8" ht="30" customHeight="1" x14ac:dyDescent="0.3">
      <c r="A50" s="4"/>
      <c r="B50" s="4"/>
      <c r="C50" s="4"/>
      <c r="D50" s="4"/>
      <c r="E50" s="7"/>
      <c r="F50" s="7"/>
      <c r="G50" s="9" t="str">
        <f>IF(Table134[[#This Row],[Product ID]]="","","*"&amp;Table134[[#This Row],[Product ID]]&amp;"*")</f>
        <v/>
      </c>
      <c r="H50" s="4"/>
    </row>
    <row r="51" spans="1:8" ht="30" customHeight="1" x14ac:dyDescent="0.3">
      <c r="A51" s="4"/>
      <c r="B51" s="4"/>
      <c r="C51" s="4"/>
      <c r="D51" s="4"/>
      <c r="E51" s="7"/>
      <c r="F51" s="7"/>
      <c r="G51" s="9" t="str">
        <f>IF(Table134[[#This Row],[Product ID]]="","","*"&amp;Table134[[#This Row],[Product ID]]&amp;"*")</f>
        <v/>
      </c>
      <c r="H51" s="4"/>
    </row>
    <row r="52" spans="1:8" ht="30" customHeight="1" x14ac:dyDescent="0.3">
      <c r="A52" s="4"/>
      <c r="B52" s="4"/>
      <c r="C52" s="4"/>
      <c r="D52" s="4"/>
      <c r="E52" s="7"/>
      <c r="F52" s="7"/>
      <c r="G52" s="9" t="str">
        <f>IF(Table134[[#This Row],[Product ID]]="","","*"&amp;Table134[[#This Row],[Product ID]]&amp;"*")</f>
        <v/>
      </c>
      <c r="H52" s="4"/>
    </row>
    <row r="53" spans="1:8" ht="30" customHeight="1" x14ac:dyDescent="0.3">
      <c r="A53" s="4"/>
      <c r="B53" s="4"/>
      <c r="C53" s="4"/>
      <c r="D53" s="4"/>
      <c r="E53" s="7"/>
      <c r="F53" s="7"/>
      <c r="G53" s="9" t="str">
        <f>IF(Table134[[#This Row],[Product ID]]="","","*"&amp;Table134[[#This Row],[Product ID]]&amp;"*")</f>
        <v/>
      </c>
      <c r="H53" s="4"/>
    </row>
    <row r="54" spans="1:8" ht="30" customHeight="1" x14ac:dyDescent="0.3">
      <c r="A54" s="4"/>
      <c r="B54" s="4"/>
      <c r="C54" s="4"/>
      <c r="D54" s="4"/>
      <c r="E54" s="7"/>
      <c r="F54" s="7"/>
      <c r="G54" s="9" t="str">
        <f>IF(Table134[[#This Row],[Product ID]]="","","*"&amp;Table134[[#This Row],[Product ID]]&amp;"*")</f>
        <v/>
      </c>
      <c r="H54" s="4"/>
    </row>
    <row r="55" spans="1:8" ht="30" customHeight="1" x14ac:dyDescent="0.3">
      <c r="A55" s="4"/>
      <c r="B55" s="4"/>
      <c r="C55" s="4"/>
      <c r="D55" s="4"/>
      <c r="E55" s="7"/>
      <c r="F55" s="7"/>
      <c r="G55" s="9" t="str">
        <f>IF(Table134[[#This Row],[Product ID]]="","","*"&amp;Table134[[#This Row],[Product ID]]&amp;"*")</f>
        <v/>
      </c>
      <c r="H55" s="4"/>
    </row>
    <row r="56" spans="1:8" ht="30" customHeight="1" x14ac:dyDescent="0.3">
      <c r="A56" s="4"/>
      <c r="B56" s="4"/>
      <c r="C56" s="4"/>
      <c r="D56" s="4"/>
      <c r="E56" s="7"/>
      <c r="F56" s="7"/>
      <c r="G56" s="9" t="str">
        <f>IF(Table134[[#This Row],[Product ID]]="","","*"&amp;Table134[[#This Row],[Product ID]]&amp;"*")</f>
        <v/>
      </c>
      <c r="H56" s="4"/>
    </row>
    <row r="57" spans="1:8" ht="30" customHeight="1" x14ac:dyDescent="0.3">
      <c r="A57" s="4"/>
      <c r="B57" s="4"/>
      <c r="C57" s="4"/>
      <c r="D57" s="4"/>
      <c r="E57" s="7"/>
      <c r="F57" s="7"/>
      <c r="G57" s="9" t="str">
        <f>IF(Table134[[#This Row],[Product ID]]="","","*"&amp;Table134[[#This Row],[Product ID]]&amp;"*")</f>
        <v/>
      </c>
      <c r="H57" s="4"/>
    </row>
    <row r="58" spans="1:8" ht="30" customHeight="1" x14ac:dyDescent="0.3">
      <c r="A58" s="4"/>
      <c r="B58" s="4"/>
      <c r="C58" s="4"/>
      <c r="D58" s="4"/>
      <c r="E58" s="7"/>
      <c r="F58" s="7"/>
      <c r="G58" s="9" t="str">
        <f>IF(Table134[[#This Row],[Product ID]]="","","*"&amp;Table134[[#This Row],[Product ID]]&amp;"*")</f>
        <v/>
      </c>
      <c r="H58" s="4"/>
    </row>
    <row r="59" spans="1:8" ht="30" customHeight="1" x14ac:dyDescent="0.3">
      <c r="A59" s="4"/>
      <c r="B59" s="4"/>
      <c r="C59" s="4"/>
      <c r="D59" s="4"/>
      <c r="E59" s="7"/>
      <c r="F59" s="7"/>
      <c r="G59" s="9" t="str">
        <f>IF(Table134[[#This Row],[Product ID]]="","","*"&amp;Table134[[#This Row],[Product ID]]&amp;"*")</f>
        <v/>
      </c>
      <c r="H59" s="4"/>
    </row>
    <row r="60" spans="1:8" ht="30" customHeight="1" x14ac:dyDescent="0.3">
      <c r="A60" s="4"/>
      <c r="B60" s="4"/>
      <c r="C60" s="4"/>
      <c r="D60" s="4"/>
      <c r="E60" s="7"/>
      <c r="F60" s="7"/>
      <c r="G60" s="9" t="str">
        <f>IF(Table134[[#This Row],[Product ID]]="","","*"&amp;Table134[[#This Row],[Product ID]]&amp;"*")</f>
        <v/>
      </c>
      <c r="H60" s="4"/>
    </row>
    <row r="61" spans="1:8" ht="30" customHeight="1" x14ac:dyDescent="0.3">
      <c r="A61" s="4"/>
      <c r="B61" s="4"/>
      <c r="C61" s="4"/>
      <c r="D61" s="4"/>
      <c r="E61" s="7"/>
      <c r="F61" s="7"/>
      <c r="G61" s="9" t="str">
        <f>IF(Table134[[#This Row],[Product ID]]="","","*"&amp;Table134[[#This Row],[Product ID]]&amp;"*")</f>
        <v/>
      </c>
      <c r="H61" s="4"/>
    </row>
    <row r="62" spans="1:8" ht="30" customHeight="1" x14ac:dyDescent="0.3">
      <c r="A62" s="4"/>
      <c r="B62" s="4"/>
      <c r="C62" s="4"/>
      <c r="D62" s="4"/>
      <c r="E62" s="7"/>
      <c r="F62" s="7"/>
      <c r="G62" s="9" t="str">
        <f>IF(Table134[[#This Row],[Product ID]]="","","*"&amp;Table134[[#This Row],[Product ID]]&amp;"*")</f>
        <v/>
      </c>
      <c r="H62" s="4"/>
    </row>
    <row r="63" spans="1:8" ht="30" customHeight="1" x14ac:dyDescent="0.3">
      <c r="A63" s="4"/>
      <c r="B63" s="4"/>
      <c r="C63" s="4"/>
      <c r="D63" s="4"/>
      <c r="E63" s="7"/>
      <c r="F63" s="7"/>
      <c r="G63" s="9" t="str">
        <f>IF(Table134[[#This Row],[Product ID]]="","","*"&amp;Table134[[#This Row],[Product ID]]&amp;"*")</f>
        <v/>
      </c>
      <c r="H63" s="4"/>
    </row>
    <row r="64" spans="1:8" ht="30" customHeight="1" x14ac:dyDescent="0.3">
      <c r="A64" s="4"/>
      <c r="B64" s="4"/>
      <c r="C64" s="4"/>
      <c r="D64" s="4"/>
      <c r="E64" s="7"/>
      <c r="F64" s="7"/>
      <c r="G64" s="9" t="str">
        <f>IF(Table134[[#This Row],[Product ID]]="","","*"&amp;Table134[[#This Row],[Product ID]]&amp;"*")</f>
        <v/>
      </c>
      <c r="H64" s="4"/>
    </row>
    <row r="65" spans="1:8" ht="30" customHeight="1" x14ac:dyDescent="0.3">
      <c r="A65" s="4"/>
      <c r="B65" s="4"/>
      <c r="C65" s="4"/>
      <c r="D65" s="4"/>
      <c r="E65" s="7"/>
      <c r="F65" s="7"/>
      <c r="G65" s="9" t="str">
        <f>IF(Table134[[#This Row],[Product ID]]="","","*"&amp;Table134[[#This Row],[Product ID]]&amp;"*")</f>
        <v/>
      </c>
      <c r="H65" s="4"/>
    </row>
    <row r="66" spans="1:8" ht="30" customHeight="1" x14ac:dyDescent="0.3">
      <c r="A66" s="4"/>
      <c r="B66" s="4"/>
      <c r="C66" s="4"/>
      <c r="D66" s="4"/>
      <c r="E66" s="7"/>
      <c r="F66" s="7"/>
      <c r="G66" s="9" t="str">
        <f>IF(Table134[[#This Row],[Product ID]]="","","*"&amp;Table134[[#This Row],[Product ID]]&amp;"*")</f>
        <v/>
      </c>
      <c r="H66" s="4"/>
    </row>
    <row r="67" spans="1:8" ht="30" customHeight="1" x14ac:dyDescent="0.3">
      <c r="A67" s="4"/>
      <c r="B67" s="4"/>
      <c r="C67" s="4"/>
      <c r="D67" s="4"/>
      <c r="E67" s="7"/>
      <c r="F67" s="7"/>
      <c r="G67" s="9" t="str">
        <f>IF(Table134[[#This Row],[Product ID]]="","","*"&amp;Table134[[#This Row],[Product ID]]&amp;"*")</f>
        <v/>
      </c>
      <c r="H67" s="4"/>
    </row>
    <row r="68" spans="1:8" ht="30" customHeight="1" x14ac:dyDescent="0.3">
      <c r="A68" s="4"/>
      <c r="B68" s="4"/>
      <c r="C68" s="4"/>
      <c r="D68" s="4"/>
      <c r="E68" s="7"/>
      <c r="F68" s="7"/>
      <c r="G68" s="9" t="str">
        <f>IF(Table134[[#This Row],[Product ID]]="","","*"&amp;Table134[[#This Row],[Product ID]]&amp;"*")</f>
        <v/>
      </c>
      <c r="H68" s="4"/>
    </row>
    <row r="69" spans="1:8" ht="30" customHeight="1" x14ac:dyDescent="0.3">
      <c r="A69" s="4"/>
      <c r="B69" s="4"/>
      <c r="C69" s="4"/>
      <c r="D69" s="4"/>
      <c r="E69" s="7"/>
      <c r="F69" s="7"/>
      <c r="G69" s="9" t="str">
        <f>IF(Table134[[#This Row],[Product ID]]="","","*"&amp;Table134[[#This Row],[Product ID]]&amp;"*")</f>
        <v/>
      </c>
      <c r="H69" s="4"/>
    </row>
    <row r="70" spans="1:8" ht="30" customHeight="1" x14ac:dyDescent="0.3">
      <c r="A70" s="4"/>
      <c r="B70" s="4"/>
      <c r="C70" s="4"/>
      <c r="D70" s="4"/>
      <c r="E70" s="7"/>
      <c r="F70" s="7"/>
      <c r="G70" s="9" t="str">
        <f>IF(Table134[[#This Row],[Product ID]]="","","*"&amp;Table134[[#This Row],[Product ID]]&amp;"*")</f>
        <v/>
      </c>
      <c r="H70" s="4"/>
    </row>
    <row r="71" spans="1:8" ht="30" customHeight="1" x14ac:dyDescent="0.3">
      <c r="A71" s="4"/>
      <c r="B71" s="4"/>
      <c r="C71" s="4"/>
      <c r="D71" s="4"/>
      <c r="E71" s="7"/>
      <c r="F71" s="7"/>
      <c r="G71" s="9" t="str">
        <f>IF(Table134[[#This Row],[Product ID]]="","","*"&amp;Table134[[#This Row],[Product ID]]&amp;"*")</f>
        <v/>
      </c>
      <c r="H71" s="4"/>
    </row>
    <row r="72" spans="1:8" ht="30" customHeight="1" x14ac:dyDescent="0.3">
      <c r="A72" s="4"/>
      <c r="B72" s="4"/>
      <c r="C72" s="4"/>
      <c r="D72" s="4"/>
      <c r="E72" s="7"/>
      <c r="F72" s="7"/>
      <c r="G72" s="9" t="str">
        <f>IF(Table134[[#This Row],[Product ID]]="","","*"&amp;Table134[[#This Row],[Product ID]]&amp;"*")</f>
        <v/>
      </c>
      <c r="H72" s="4"/>
    </row>
    <row r="73" spans="1:8" ht="30" customHeight="1" x14ac:dyDescent="0.3">
      <c r="A73" s="4"/>
      <c r="B73" s="4"/>
      <c r="C73" s="4"/>
      <c r="D73" s="4"/>
      <c r="E73" s="7"/>
      <c r="F73" s="7"/>
      <c r="G73" s="9" t="str">
        <f>IF(Table134[[#This Row],[Product ID]]="","","*"&amp;Table134[[#This Row],[Product ID]]&amp;"*")</f>
        <v/>
      </c>
      <c r="H73" s="4"/>
    </row>
    <row r="74" spans="1:8" ht="30" customHeight="1" x14ac:dyDescent="0.3">
      <c r="A74" s="4"/>
      <c r="B74" s="4"/>
      <c r="C74" s="4"/>
      <c r="D74" s="4"/>
      <c r="E74" s="7"/>
      <c r="F74" s="7"/>
      <c r="G74" s="9" t="str">
        <f>IF(Table134[[#This Row],[Product ID]]="","","*"&amp;Table134[[#This Row],[Product ID]]&amp;"*")</f>
        <v/>
      </c>
      <c r="H74" s="4"/>
    </row>
    <row r="75" spans="1:8" ht="30" customHeight="1" x14ac:dyDescent="0.3">
      <c r="A75" s="4"/>
      <c r="B75" s="4"/>
      <c r="C75" s="4"/>
      <c r="D75" s="4"/>
      <c r="E75" s="7"/>
      <c r="F75" s="7"/>
      <c r="G75" s="9" t="str">
        <f>IF(Table134[[#This Row],[Product ID]]="","","*"&amp;Table134[[#This Row],[Product ID]]&amp;"*")</f>
        <v/>
      </c>
      <c r="H75" s="4"/>
    </row>
    <row r="76" spans="1:8" ht="30" customHeight="1" x14ac:dyDescent="0.3">
      <c r="A76" s="4"/>
      <c r="B76" s="4"/>
      <c r="C76" s="4"/>
      <c r="D76" s="4"/>
      <c r="E76" s="7"/>
      <c r="F76" s="7"/>
      <c r="G76" s="9" t="str">
        <f>IF(Table134[[#This Row],[Product ID]]="","","*"&amp;Table134[[#This Row],[Product ID]]&amp;"*")</f>
        <v/>
      </c>
      <c r="H76" s="4"/>
    </row>
    <row r="77" spans="1:8" ht="30" customHeight="1" x14ac:dyDescent="0.3">
      <c r="A77" s="4"/>
      <c r="B77" s="4"/>
      <c r="C77" s="4"/>
      <c r="D77" s="4"/>
      <c r="E77" s="7"/>
      <c r="F77" s="7"/>
      <c r="G77" s="9" t="str">
        <f>IF(Table134[[#This Row],[Product ID]]="","","*"&amp;Table134[[#This Row],[Product ID]]&amp;"*")</f>
        <v/>
      </c>
      <c r="H77" s="4"/>
    </row>
    <row r="78" spans="1:8" ht="30" customHeight="1" x14ac:dyDescent="0.3">
      <c r="A78" s="4"/>
      <c r="B78" s="4"/>
      <c r="C78" s="4"/>
      <c r="D78" s="4"/>
      <c r="E78" s="7"/>
      <c r="F78" s="7"/>
      <c r="G78" s="9" t="str">
        <f>IF(Table134[[#This Row],[Product ID]]="","","*"&amp;Table134[[#This Row],[Product ID]]&amp;"*")</f>
        <v/>
      </c>
      <c r="H78" s="4"/>
    </row>
    <row r="79" spans="1:8" ht="30" customHeight="1" x14ac:dyDescent="0.3">
      <c r="A79" s="4"/>
      <c r="B79" s="4"/>
      <c r="C79" s="4"/>
      <c r="D79" s="4"/>
      <c r="E79" s="7"/>
      <c r="F79" s="7"/>
      <c r="G79" s="9" t="str">
        <f>IF(Table134[[#This Row],[Product ID]]="","","*"&amp;Table134[[#This Row],[Product ID]]&amp;"*")</f>
        <v/>
      </c>
      <c r="H79" s="4"/>
    </row>
    <row r="80" spans="1:8" ht="30" customHeight="1" x14ac:dyDescent="0.3">
      <c r="A80" s="4"/>
      <c r="B80" s="4"/>
      <c r="C80" s="4"/>
      <c r="D80" s="4"/>
      <c r="E80" s="7"/>
      <c r="F80" s="7"/>
      <c r="G80" s="9" t="str">
        <f>IF(Table134[[#This Row],[Product ID]]="","","*"&amp;Table134[[#This Row],[Product ID]]&amp;"*")</f>
        <v/>
      </c>
      <c r="H80" s="4"/>
    </row>
    <row r="81" spans="1:8" ht="30" customHeight="1" x14ac:dyDescent="0.3">
      <c r="A81" s="4"/>
      <c r="B81" s="4"/>
      <c r="C81" s="4"/>
      <c r="D81" s="4"/>
      <c r="E81" s="7"/>
      <c r="F81" s="7"/>
      <c r="G81" s="9" t="str">
        <f>IF(Table134[[#This Row],[Product ID]]="","","*"&amp;Table134[[#This Row],[Product ID]]&amp;"*")</f>
        <v/>
      </c>
      <c r="H81" s="4"/>
    </row>
    <row r="82" spans="1:8" ht="30" customHeight="1" x14ac:dyDescent="0.3">
      <c r="A82" s="4"/>
      <c r="B82" s="4"/>
      <c r="C82" s="4"/>
      <c r="D82" s="4"/>
      <c r="E82" s="7"/>
      <c r="F82" s="7"/>
      <c r="G82" s="9" t="str">
        <f>IF(Table134[[#This Row],[Product ID]]="","","*"&amp;Table134[[#This Row],[Product ID]]&amp;"*")</f>
        <v/>
      </c>
      <c r="H82" s="4"/>
    </row>
    <row r="83" spans="1:8" ht="30" customHeight="1" x14ac:dyDescent="0.3">
      <c r="A83" s="4"/>
      <c r="B83" s="4"/>
      <c r="C83" s="4"/>
      <c r="D83" s="4"/>
      <c r="E83" s="7"/>
      <c r="F83" s="7"/>
      <c r="G83" s="9" t="str">
        <f>IF(Table134[[#This Row],[Product ID]]="","","*"&amp;Table134[[#This Row],[Product ID]]&amp;"*")</f>
        <v/>
      </c>
      <c r="H83" s="4"/>
    </row>
    <row r="84" spans="1:8" ht="30" customHeight="1" x14ac:dyDescent="0.3">
      <c r="A84" s="4"/>
      <c r="B84" s="4"/>
      <c r="C84" s="4"/>
      <c r="D84" s="4"/>
      <c r="E84" s="7"/>
      <c r="F84" s="7"/>
      <c r="G84" s="9" t="str">
        <f>IF(Table134[[#This Row],[Product ID]]="","","*"&amp;Table134[[#This Row],[Product ID]]&amp;"*")</f>
        <v/>
      </c>
      <c r="H84" s="4"/>
    </row>
    <row r="85" spans="1:8" ht="30" customHeight="1" x14ac:dyDescent="0.3">
      <c r="A85" s="4"/>
      <c r="B85" s="4"/>
      <c r="C85" s="4"/>
      <c r="D85" s="4"/>
      <c r="E85" s="7"/>
      <c r="F85" s="7"/>
      <c r="G85" s="9" t="str">
        <f>IF(Table134[[#This Row],[Product ID]]="","","*"&amp;Table134[[#This Row],[Product ID]]&amp;"*")</f>
        <v/>
      </c>
      <c r="H85" s="4"/>
    </row>
    <row r="86" spans="1:8" ht="30" customHeight="1" x14ac:dyDescent="0.3">
      <c r="A86" s="4"/>
      <c r="B86" s="4"/>
      <c r="C86" s="4"/>
      <c r="D86" s="4"/>
      <c r="E86" s="7"/>
      <c r="F86" s="7"/>
      <c r="G86" s="9" t="str">
        <f>IF(Table134[[#This Row],[Product ID]]="","","*"&amp;Table134[[#This Row],[Product ID]]&amp;"*")</f>
        <v/>
      </c>
      <c r="H86" s="4"/>
    </row>
    <row r="87" spans="1:8" ht="30" customHeight="1" x14ac:dyDescent="0.3">
      <c r="A87" s="4"/>
      <c r="B87" s="4"/>
      <c r="C87" s="4"/>
      <c r="D87" s="4"/>
      <c r="E87" s="7"/>
      <c r="F87" s="7"/>
      <c r="G87" s="9" t="str">
        <f>IF(Table134[[#This Row],[Product ID]]="","","*"&amp;Table134[[#This Row],[Product ID]]&amp;"*")</f>
        <v/>
      </c>
      <c r="H87" s="4"/>
    </row>
    <row r="88" spans="1:8" ht="30" customHeight="1" x14ac:dyDescent="0.3">
      <c r="A88" s="4"/>
      <c r="B88" s="4"/>
      <c r="C88" s="4"/>
      <c r="D88" s="4"/>
      <c r="E88" s="7"/>
      <c r="F88" s="7"/>
      <c r="G88" s="9" t="str">
        <f>IF(Table134[[#This Row],[Product ID]]="","","*"&amp;Table134[[#This Row],[Product ID]]&amp;"*")</f>
        <v/>
      </c>
      <c r="H88" s="4"/>
    </row>
    <row r="89" spans="1:8" ht="30" customHeight="1" x14ac:dyDescent="0.3">
      <c r="A89" s="4"/>
      <c r="B89" s="4"/>
      <c r="C89" s="4"/>
      <c r="D89" s="4"/>
      <c r="E89" s="7"/>
      <c r="F89" s="7"/>
      <c r="G89" s="9" t="str">
        <f>IF(Table134[[#This Row],[Product ID]]="","","*"&amp;Table134[[#This Row],[Product ID]]&amp;"*")</f>
        <v/>
      </c>
      <c r="H89" s="4"/>
    </row>
    <row r="90" spans="1:8" ht="30" customHeight="1" x14ac:dyDescent="0.3">
      <c r="A90" s="4"/>
      <c r="B90" s="4"/>
      <c r="C90" s="4"/>
      <c r="D90" s="4"/>
      <c r="E90" s="7"/>
      <c r="F90" s="7"/>
      <c r="G90" s="9" t="str">
        <f>IF(Table134[[#This Row],[Product ID]]="","","*"&amp;Table134[[#This Row],[Product ID]]&amp;"*")</f>
        <v/>
      </c>
      <c r="H90" s="4"/>
    </row>
    <row r="91" spans="1:8" ht="30" customHeight="1" x14ac:dyDescent="0.3">
      <c r="A91" s="4"/>
      <c r="B91" s="4"/>
      <c r="C91" s="4"/>
      <c r="D91" s="4"/>
      <c r="E91" s="7"/>
      <c r="F91" s="7"/>
      <c r="G91" s="9" t="str">
        <f>IF(Table134[[#This Row],[Product ID]]="","","*"&amp;Table134[[#This Row],[Product ID]]&amp;"*")</f>
        <v/>
      </c>
      <c r="H91" s="4"/>
    </row>
    <row r="92" spans="1:8" ht="30" customHeight="1" x14ac:dyDescent="0.3">
      <c r="A92" s="4"/>
      <c r="B92" s="4"/>
      <c r="C92" s="4"/>
      <c r="D92" s="4"/>
      <c r="E92" s="7"/>
      <c r="F92" s="7"/>
      <c r="G92" s="9" t="str">
        <f>IF(Table134[[#This Row],[Product ID]]="","","*"&amp;Table134[[#This Row],[Product ID]]&amp;"*")</f>
        <v/>
      </c>
      <c r="H92" s="4"/>
    </row>
    <row r="93" spans="1:8" ht="30" customHeight="1" x14ac:dyDescent="0.3">
      <c r="A93" s="4"/>
      <c r="B93" s="4"/>
      <c r="C93" s="4"/>
      <c r="D93" s="4"/>
      <c r="E93" s="7"/>
      <c r="F93" s="7"/>
      <c r="G93" s="9" t="str">
        <f>IF(Table134[[#This Row],[Product ID]]="","","*"&amp;Table134[[#This Row],[Product ID]]&amp;"*")</f>
        <v/>
      </c>
      <c r="H93" s="4"/>
    </row>
    <row r="94" spans="1:8" ht="30" customHeight="1" x14ac:dyDescent="0.3">
      <c r="A94" s="4"/>
      <c r="B94" s="4"/>
      <c r="C94" s="4"/>
      <c r="D94" s="4"/>
      <c r="E94" s="7"/>
      <c r="F94" s="7"/>
      <c r="G94" s="9" t="str">
        <f>IF(Table134[[#This Row],[Product ID]]="","","*"&amp;Table134[[#This Row],[Product ID]]&amp;"*")</f>
        <v/>
      </c>
      <c r="H94" s="4"/>
    </row>
    <row r="95" spans="1:8" ht="30" customHeight="1" x14ac:dyDescent="0.3">
      <c r="A95" s="4"/>
      <c r="B95" s="4"/>
      <c r="C95" s="4"/>
      <c r="D95" s="4"/>
      <c r="E95" s="7"/>
      <c r="F95" s="7"/>
      <c r="G95" s="9" t="str">
        <f>IF(Table134[[#This Row],[Product ID]]="","","*"&amp;Table134[[#This Row],[Product ID]]&amp;"*")</f>
        <v/>
      </c>
      <c r="H95" s="4"/>
    </row>
    <row r="96" spans="1:8" ht="30" customHeight="1" x14ac:dyDescent="0.3">
      <c r="A96" s="4"/>
      <c r="B96" s="4"/>
      <c r="C96" s="4"/>
      <c r="D96" s="4"/>
      <c r="E96" s="7"/>
      <c r="F96" s="7"/>
      <c r="G96" s="9" t="str">
        <f>IF(Table134[[#This Row],[Product ID]]="","","*"&amp;Table134[[#This Row],[Product ID]]&amp;"*")</f>
        <v/>
      </c>
      <c r="H96" s="4"/>
    </row>
    <row r="97" spans="1:8" ht="30" customHeight="1" x14ac:dyDescent="0.3">
      <c r="A97" s="4"/>
      <c r="B97" s="4"/>
      <c r="C97" s="4"/>
      <c r="D97" s="4"/>
      <c r="E97" s="7"/>
      <c r="F97" s="7"/>
      <c r="G97" s="9" t="str">
        <f>IF(Table134[[#This Row],[Product ID]]="","","*"&amp;Table134[[#This Row],[Product ID]]&amp;"*")</f>
        <v/>
      </c>
      <c r="H97" s="4"/>
    </row>
    <row r="98" spans="1:8" ht="30" customHeight="1" x14ac:dyDescent="0.3">
      <c r="A98" s="4"/>
      <c r="B98" s="4"/>
      <c r="C98" s="4"/>
      <c r="D98" s="4"/>
      <c r="E98" s="7"/>
      <c r="F98" s="7"/>
      <c r="G98" s="9" t="str">
        <f>IF(Table134[[#This Row],[Product ID]]="","","*"&amp;Table134[[#This Row],[Product ID]]&amp;"*")</f>
        <v/>
      </c>
      <c r="H98" s="4"/>
    </row>
    <row r="99" spans="1:8" ht="30" customHeight="1" x14ac:dyDescent="0.3">
      <c r="A99" s="4"/>
      <c r="B99" s="4"/>
      <c r="C99" s="4"/>
      <c r="D99" s="4"/>
      <c r="E99" s="7"/>
      <c r="F99" s="7"/>
      <c r="G99" s="9" t="str">
        <f>IF(Table134[[#This Row],[Product ID]]="","","*"&amp;Table134[[#This Row],[Product ID]]&amp;"*")</f>
        <v/>
      </c>
      <c r="H99" s="4"/>
    </row>
    <row r="100" spans="1:8" ht="30" customHeight="1" x14ac:dyDescent="0.3">
      <c r="A100" s="4"/>
      <c r="B100" s="4"/>
      <c r="C100" s="4"/>
      <c r="D100" s="4"/>
      <c r="E100" s="7"/>
      <c r="F100" s="7"/>
      <c r="G100" s="9" t="str">
        <f>IF(Table134[[#This Row],[Product ID]]="","","*"&amp;Table134[[#This Row],[Product ID]]&amp;"*")</f>
        <v/>
      </c>
      <c r="H100" s="4"/>
    </row>
    <row r="101" spans="1:8" ht="30" customHeight="1" x14ac:dyDescent="0.3">
      <c r="A101" s="4"/>
      <c r="B101" s="4"/>
      <c r="C101" s="4"/>
      <c r="D101" s="4"/>
      <c r="E101" s="7"/>
      <c r="F101" s="7"/>
      <c r="G101" s="9" t="str">
        <f>IF(Table134[[#This Row],[Product ID]]="","","*"&amp;Table134[[#This Row],[Product ID]]&amp;"*")</f>
        <v/>
      </c>
      <c r="H101" s="4"/>
    </row>
    <row r="102" spans="1:8" ht="30" customHeight="1" x14ac:dyDescent="0.3">
      <c r="A102" s="4"/>
      <c r="B102" s="4"/>
      <c r="C102" s="4"/>
      <c r="D102" s="4"/>
      <c r="E102" s="7"/>
      <c r="F102" s="7"/>
      <c r="G102" s="9" t="str">
        <f>IF(Table134[[#This Row],[Product ID]]="","","*"&amp;Table134[[#This Row],[Product ID]]&amp;"*")</f>
        <v/>
      </c>
      <c r="H102" s="4"/>
    </row>
    <row r="103" spans="1:8" ht="30" customHeight="1" x14ac:dyDescent="0.3">
      <c r="A103" s="4"/>
      <c r="B103" s="4"/>
      <c r="C103" s="4"/>
      <c r="D103" s="4"/>
      <c r="E103" s="7"/>
      <c r="F103" s="7"/>
      <c r="G103" s="9" t="str">
        <f>IF(Table134[[#This Row],[Product ID]]="","","*"&amp;Table134[[#This Row],[Product ID]]&amp;"*")</f>
        <v/>
      </c>
      <c r="H103" s="4"/>
    </row>
    <row r="104" spans="1:8" ht="30" customHeight="1" x14ac:dyDescent="0.3">
      <c r="A104" s="4"/>
      <c r="B104" s="4"/>
      <c r="C104" s="4"/>
      <c r="D104" s="4"/>
      <c r="E104" s="7"/>
      <c r="F104" s="7"/>
      <c r="G104" s="9" t="str">
        <f>IF(Table134[[#This Row],[Product ID]]="","","*"&amp;Table134[[#This Row],[Product ID]]&amp;"*")</f>
        <v/>
      </c>
      <c r="H104" s="4"/>
    </row>
    <row r="105" spans="1:8" ht="30" customHeight="1" x14ac:dyDescent="0.3">
      <c r="A105" s="4"/>
      <c r="B105" s="4"/>
      <c r="C105" s="4"/>
      <c r="D105" s="4"/>
      <c r="E105" s="7"/>
      <c r="F105" s="7"/>
      <c r="G105" s="9" t="str">
        <f>IF(Table134[[#This Row],[Product ID]]="","","*"&amp;Table134[[#This Row],[Product ID]]&amp;"*")</f>
        <v/>
      </c>
      <c r="H105" s="4"/>
    </row>
    <row r="106" spans="1:8" ht="30" customHeight="1" x14ac:dyDescent="0.3">
      <c r="A106" s="4"/>
      <c r="B106" s="4"/>
      <c r="C106" s="4"/>
      <c r="D106" s="4"/>
      <c r="E106" s="7"/>
      <c r="F106" s="7"/>
      <c r="G106" s="9" t="str">
        <f>IF(Table134[[#This Row],[Product ID]]="","","*"&amp;Table134[[#This Row],[Product ID]]&amp;"*")</f>
        <v/>
      </c>
      <c r="H106" s="4"/>
    </row>
    <row r="107" spans="1:8" ht="30" customHeight="1" x14ac:dyDescent="0.3">
      <c r="A107" s="4"/>
      <c r="B107" s="4"/>
      <c r="C107" s="4"/>
      <c r="D107" s="4"/>
      <c r="E107" s="7"/>
      <c r="F107" s="7"/>
      <c r="G107" s="9" t="str">
        <f>IF(Table134[[#This Row],[Product ID]]="","","*"&amp;Table134[[#This Row],[Product ID]]&amp;"*")</f>
        <v/>
      </c>
      <c r="H107" s="4"/>
    </row>
    <row r="108" spans="1:8" ht="30" customHeight="1" x14ac:dyDescent="0.3">
      <c r="A108" s="4"/>
      <c r="B108" s="4"/>
      <c r="C108" s="4"/>
      <c r="D108" s="4"/>
      <c r="E108" s="7"/>
      <c r="F108" s="7"/>
      <c r="G108" s="9" t="str">
        <f>IF(Table134[[#This Row],[Product ID]]="","","*"&amp;Table134[[#This Row],[Product ID]]&amp;"*")</f>
        <v/>
      </c>
      <c r="H108" s="4"/>
    </row>
    <row r="109" spans="1:8" ht="30" customHeight="1" x14ac:dyDescent="0.3">
      <c r="A109" s="4"/>
      <c r="B109" s="4"/>
      <c r="C109" s="4"/>
      <c r="D109" s="4"/>
      <c r="E109" s="7"/>
      <c r="F109" s="7"/>
      <c r="G109" s="9" t="str">
        <f>IF(Table134[[#This Row],[Product ID]]="","","*"&amp;Table134[[#This Row],[Product ID]]&amp;"*")</f>
        <v/>
      </c>
      <c r="H109" s="4"/>
    </row>
    <row r="110" spans="1:8" ht="30" customHeight="1" x14ac:dyDescent="0.3">
      <c r="A110" s="4"/>
      <c r="B110" s="4"/>
      <c r="C110" s="4"/>
      <c r="D110" s="4"/>
      <c r="E110" s="7"/>
      <c r="F110" s="7"/>
      <c r="G110" s="9" t="str">
        <f>IF(Table134[[#This Row],[Product ID]]="","","*"&amp;Table134[[#This Row],[Product ID]]&amp;"*")</f>
        <v/>
      </c>
      <c r="H110" s="4"/>
    </row>
    <row r="111" spans="1:8" ht="30" customHeight="1" x14ac:dyDescent="0.3">
      <c r="A111" s="4"/>
      <c r="B111" s="4"/>
      <c r="C111" s="4"/>
      <c r="D111" s="4"/>
      <c r="E111" s="7"/>
      <c r="F111" s="7"/>
      <c r="G111" s="9" t="str">
        <f>IF(Table134[[#This Row],[Product ID]]="","","*"&amp;Table134[[#This Row],[Product ID]]&amp;"*")</f>
        <v/>
      </c>
      <c r="H111" s="4"/>
    </row>
    <row r="112" spans="1:8" ht="30" customHeight="1" x14ac:dyDescent="0.3">
      <c r="A112" s="4"/>
      <c r="B112" s="4"/>
      <c r="C112" s="4"/>
      <c r="D112" s="4"/>
      <c r="E112" s="7"/>
      <c r="F112" s="7"/>
      <c r="G112" s="9" t="str">
        <f>IF(Table134[[#This Row],[Product ID]]="","","*"&amp;Table134[[#This Row],[Product ID]]&amp;"*")</f>
        <v/>
      </c>
      <c r="H112" s="4"/>
    </row>
    <row r="113" spans="1:8" ht="30" customHeight="1" x14ac:dyDescent="0.3">
      <c r="A113" s="4"/>
      <c r="B113" s="4"/>
      <c r="C113" s="4"/>
      <c r="D113" s="4"/>
      <c r="E113" s="7"/>
      <c r="F113" s="7"/>
      <c r="G113" s="9" t="str">
        <f>IF(Table134[[#This Row],[Product ID]]="","","*"&amp;Table134[[#This Row],[Product ID]]&amp;"*")</f>
        <v/>
      </c>
      <c r="H113" s="4"/>
    </row>
    <row r="114" spans="1:8" ht="30" customHeight="1" x14ac:dyDescent="0.3">
      <c r="A114" s="4"/>
      <c r="B114" s="4"/>
      <c r="C114" s="4"/>
      <c r="D114" s="4"/>
      <c r="E114" s="7"/>
      <c r="F114" s="7"/>
      <c r="G114" s="9" t="str">
        <f>IF(Table134[[#This Row],[Product ID]]="","","*"&amp;Table134[[#This Row],[Product ID]]&amp;"*")</f>
        <v/>
      </c>
      <c r="H114" s="4"/>
    </row>
    <row r="115" spans="1:8" ht="30" customHeight="1" x14ac:dyDescent="0.3">
      <c r="A115" s="4"/>
      <c r="B115" s="4"/>
      <c r="C115" s="4"/>
      <c r="D115" s="4"/>
      <c r="E115" s="7"/>
      <c r="F115" s="7"/>
      <c r="G115" s="9" t="str">
        <f>IF(Table134[[#This Row],[Product ID]]="","","*"&amp;Table134[[#This Row],[Product ID]]&amp;"*")</f>
        <v/>
      </c>
      <c r="H115" s="4"/>
    </row>
    <row r="116" spans="1:8" ht="30" customHeight="1" x14ac:dyDescent="0.3">
      <c r="A116" s="4"/>
      <c r="B116" s="4"/>
      <c r="C116" s="4"/>
      <c r="D116" s="4"/>
      <c r="E116" s="7"/>
      <c r="F116" s="7"/>
      <c r="G116" s="9" t="str">
        <f>IF(Table134[[#This Row],[Product ID]]="","","*"&amp;Table134[[#This Row],[Product ID]]&amp;"*")</f>
        <v/>
      </c>
      <c r="H116" s="4"/>
    </row>
    <row r="117" spans="1:8" ht="30" customHeight="1" x14ac:dyDescent="0.3">
      <c r="A117" s="4"/>
      <c r="B117" s="4"/>
      <c r="C117" s="4"/>
      <c r="D117" s="4"/>
      <c r="E117" s="7"/>
      <c r="F117" s="7"/>
      <c r="G117" s="9" t="str">
        <f>IF(Table134[[#This Row],[Product ID]]="","","*"&amp;Table134[[#This Row],[Product ID]]&amp;"*")</f>
        <v/>
      </c>
      <c r="H117" s="4"/>
    </row>
    <row r="118" spans="1:8" ht="30" customHeight="1" x14ac:dyDescent="0.3">
      <c r="A118" s="4"/>
      <c r="B118" s="4"/>
      <c r="C118" s="4"/>
      <c r="D118" s="4"/>
      <c r="E118" s="7"/>
      <c r="F118" s="7"/>
      <c r="G118" s="9" t="str">
        <f>IF(Table134[[#This Row],[Product ID]]="","","*"&amp;Table134[[#This Row],[Product ID]]&amp;"*")</f>
        <v/>
      </c>
      <c r="H118" s="4"/>
    </row>
    <row r="119" spans="1:8" ht="30" customHeight="1" x14ac:dyDescent="0.3">
      <c r="A119" s="4"/>
      <c r="B119" s="4"/>
      <c r="C119" s="4"/>
      <c r="D119" s="4"/>
      <c r="E119" s="7"/>
      <c r="F119" s="7"/>
      <c r="G119" s="9" t="str">
        <f>IF(Table134[[#This Row],[Product ID]]="","","*"&amp;Table134[[#This Row],[Product ID]]&amp;"*")</f>
        <v/>
      </c>
      <c r="H119" s="4"/>
    </row>
    <row r="120" spans="1:8" ht="30" customHeight="1" x14ac:dyDescent="0.3">
      <c r="A120" s="4"/>
      <c r="B120" s="4"/>
      <c r="C120" s="4"/>
      <c r="D120" s="4"/>
      <c r="E120" s="7"/>
      <c r="F120" s="7"/>
      <c r="G120" s="9" t="str">
        <f>IF(Table134[[#This Row],[Product ID]]="","","*"&amp;Table134[[#This Row],[Product ID]]&amp;"*")</f>
        <v/>
      </c>
      <c r="H120" s="4"/>
    </row>
    <row r="121" spans="1:8" ht="30" customHeight="1" x14ac:dyDescent="0.3">
      <c r="A121" s="4"/>
      <c r="B121" s="4"/>
      <c r="C121" s="4"/>
      <c r="D121" s="4"/>
      <c r="E121" s="7"/>
      <c r="F121" s="7"/>
      <c r="G121" s="9" t="str">
        <f>IF(Table134[[#This Row],[Product ID]]="","","*"&amp;Table134[[#This Row],[Product ID]]&amp;"*")</f>
        <v/>
      </c>
      <c r="H121" s="4"/>
    </row>
    <row r="122" spans="1:8" ht="30" customHeight="1" x14ac:dyDescent="0.3">
      <c r="A122" s="4"/>
      <c r="B122" s="4"/>
      <c r="C122" s="4"/>
      <c r="D122" s="4"/>
      <c r="E122" s="7"/>
      <c r="F122" s="7"/>
      <c r="G122" s="9" t="str">
        <f>IF(Table134[[#This Row],[Product ID]]="","","*"&amp;Table134[[#This Row],[Product ID]]&amp;"*")</f>
        <v/>
      </c>
      <c r="H122" s="4"/>
    </row>
    <row r="123" spans="1:8" ht="30" customHeight="1" x14ac:dyDescent="0.3">
      <c r="A123" s="4"/>
      <c r="B123" s="4"/>
      <c r="C123" s="4"/>
      <c r="D123" s="4"/>
      <c r="E123" s="7"/>
      <c r="F123" s="7"/>
      <c r="G123" s="9" t="str">
        <f>IF(Table134[[#This Row],[Product ID]]="","","*"&amp;Table134[[#This Row],[Product ID]]&amp;"*")</f>
        <v/>
      </c>
      <c r="H123" s="4"/>
    </row>
    <row r="124" spans="1:8" ht="30" customHeight="1" x14ac:dyDescent="0.3">
      <c r="A124" s="4"/>
      <c r="B124" s="4"/>
      <c r="C124" s="4"/>
      <c r="D124" s="4"/>
      <c r="E124" s="7"/>
      <c r="F124" s="7"/>
      <c r="G124" s="9" t="str">
        <f>IF(Table134[[#This Row],[Product ID]]="","","*"&amp;Table134[[#This Row],[Product ID]]&amp;"*")</f>
        <v/>
      </c>
      <c r="H124" s="4"/>
    </row>
    <row r="125" spans="1:8" ht="30" customHeight="1" x14ac:dyDescent="0.3">
      <c r="A125" s="4"/>
      <c r="B125" s="4"/>
      <c r="C125" s="4"/>
      <c r="D125" s="4"/>
      <c r="E125" s="7"/>
      <c r="F125" s="7"/>
      <c r="G125" s="9" t="str">
        <f>IF(Table134[[#This Row],[Product ID]]="","","*"&amp;Table134[[#This Row],[Product ID]]&amp;"*")</f>
        <v/>
      </c>
      <c r="H125" s="4"/>
    </row>
    <row r="126" spans="1:8" ht="30" customHeight="1" x14ac:dyDescent="0.3">
      <c r="A126" s="4"/>
      <c r="B126" s="4"/>
      <c r="C126" s="4"/>
      <c r="D126" s="4"/>
      <c r="E126" s="7"/>
      <c r="F126" s="7"/>
      <c r="G126" s="9" t="str">
        <f>IF(Table134[[#This Row],[Product ID]]="","","*"&amp;Table134[[#This Row],[Product ID]]&amp;"*")</f>
        <v/>
      </c>
      <c r="H126" s="4"/>
    </row>
    <row r="127" spans="1:8" ht="30" customHeight="1" x14ac:dyDescent="0.3">
      <c r="A127" s="4"/>
      <c r="B127" s="4"/>
      <c r="C127" s="4"/>
      <c r="D127" s="4"/>
      <c r="E127" s="7"/>
      <c r="F127" s="7"/>
      <c r="G127" s="9" t="str">
        <f>IF(Table134[[#This Row],[Product ID]]="","","*"&amp;Table134[[#This Row],[Product ID]]&amp;"*")</f>
        <v/>
      </c>
      <c r="H127" s="4"/>
    </row>
    <row r="128" spans="1:8" ht="30" customHeight="1" x14ac:dyDescent="0.3">
      <c r="A128" s="4"/>
      <c r="B128" s="4"/>
      <c r="C128" s="4"/>
      <c r="D128" s="4"/>
      <c r="E128" s="7"/>
      <c r="F128" s="7"/>
      <c r="G128" s="9" t="str">
        <f>IF(Table134[[#This Row],[Product ID]]="","","*"&amp;Table134[[#This Row],[Product ID]]&amp;"*")</f>
        <v/>
      </c>
      <c r="H128" s="4"/>
    </row>
    <row r="129" spans="1:8" ht="30" customHeight="1" x14ac:dyDescent="0.3">
      <c r="A129" s="4"/>
      <c r="B129" s="4"/>
      <c r="C129" s="4"/>
      <c r="D129" s="4"/>
      <c r="E129" s="7"/>
      <c r="F129" s="7"/>
      <c r="G129" s="9" t="str">
        <f>IF(Table134[[#This Row],[Product ID]]="","","*"&amp;Table134[[#This Row],[Product ID]]&amp;"*")</f>
        <v/>
      </c>
      <c r="H129" s="4"/>
    </row>
    <row r="130" spans="1:8" ht="30" customHeight="1" x14ac:dyDescent="0.3">
      <c r="A130" s="4"/>
      <c r="B130" s="4"/>
      <c r="C130" s="4"/>
      <c r="D130" s="4"/>
      <c r="E130" s="7"/>
      <c r="F130" s="7"/>
      <c r="G130" s="9" t="str">
        <f>IF(Table134[[#This Row],[Product ID]]="","","*"&amp;Table134[[#This Row],[Product ID]]&amp;"*")</f>
        <v/>
      </c>
      <c r="H130" s="4"/>
    </row>
    <row r="131" spans="1:8" ht="30" customHeight="1" x14ac:dyDescent="0.3">
      <c r="A131" s="4"/>
      <c r="B131" s="4"/>
      <c r="C131" s="4"/>
      <c r="D131" s="4"/>
      <c r="E131" s="7"/>
      <c r="F131" s="7"/>
      <c r="G131" s="9" t="str">
        <f>IF(Table134[[#This Row],[Product ID]]="","","*"&amp;Table134[[#This Row],[Product ID]]&amp;"*")</f>
        <v/>
      </c>
      <c r="H131" s="4"/>
    </row>
    <row r="132" spans="1:8" ht="30" customHeight="1" x14ac:dyDescent="0.3">
      <c r="A132" s="4"/>
      <c r="B132" s="4"/>
      <c r="C132" s="4"/>
      <c r="D132" s="4"/>
      <c r="E132" s="7"/>
      <c r="F132" s="7"/>
      <c r="G132" s="9" t="str">
        <f>IF(Table134[[#This Row],[Product ID]]="","","*"&amp;Table134[[#This Row],[Product ID]]&amp;"*")</f>
        <v/>
      </c>
      <c r="H132" s="4"/>
    </row>
    <row r="133" spans="1:8" ht="30" customHeight="1" x14ac:dyDescent="0.3">
      <c r="A133" s="4"/>
      <c r="B133" s="4"/>
      <c r="C133" s="4"/>
      <c r="D133" s="4"/>
      <c r="E133" s="7"/>
      <c r="F133" s="7"/>
      <c r="G133" s="9" t="str">
        <f>IF(Table134[[#This Row],[Product ID]]="","","*"&amp;Table134[[#This Row],[Product ID]]&amp;"*")</f>
        <v/>
      </c>
      <c r="H133" s="4"/>
    </row>
    <row r="134" spans="1:8" ht="30" customHeight="1" x14ac:dyDescent="0.3">
      <c r="A134" s="4"/>
      <c r="B134" s="4"/>
      <c r="C134" s="4"/>
      <c r="D134" s="4"/>
      <c r="E134" s="7"/>
      <c r="F134" s="7"/>
      <c r="G134" s="9" t="str">
        <f>IF(Table134[[#This Row],[Product ID]]="","","*"&amp;Table134[[#This Row],[Product ID]]&amp;"*")</f>
        <v/>
      </c>
      <c r="H134" s="4"/>
    </row>
    <row r="135" spans="1:8" ht="30" customHeight="1" x14ac:dyDescent="0.3">
      <c r="A135" s="4"/>
      <c r="B135" s="4"/>
      <c r="C135" s="4"/>
      <c r="D135" s="4"/>
      <c r="E135" s="7"/>
      <c r="F135" s="7"/>
      <c r="G135" s="9" t="str">
        <f>IF(Table134[[#This Row],[Product ID]]="","","*"&amp;Table134[[#This Row],[Product ID]]&amp;"*")</f>
        <v/>
      </c>
      <c r="H135" s="4"/>
    </row>
    <row r="136" spans="1:8" ht="30" customHeight="1" x14ac:dyDescent="0.3">
      <c r="A136" s="4"/>
      <c r="B136" s="4"/>
      <c r="C136" s="4"/>
      <c r="D136" s="4"/>
      <c r="E136" s="7"/>
      <c r="F136" s="7"/>
      <c r="G136" s="9" t="str">
        <f>IF(Table134[[#This Row],[Product ID]]="","","*"&amp;Table134[[#This Row],[Product ID]]&amp;"*")</f>
        <v/>
      </c>
      <c r="H136" s="4"/>
    </row>
    <row r="137" spans="1:8" ht="30" customHeight="1" x14ac:dyDescent="0.3">
      <c r="A137" s="4"/>
      <c r="B137" s="4"/>
      <c r="C137" s="4"/>
      <c r="D137" s="4"/>
      <c r="E137" s="7"/>
      <c r="F137" s="7"/>
      <c r="G137" s="9" t="str">
        <f>IF(Table134[[#This Row],[Product ID]]="","","*"&amp;Table134[[#This Row],[Product ID]]&amp;"*")</f>
        <v/>
      </c>
      <c r="H137" s="4"/>
    </row>
    <row r="138" spans="1:8" ht="30" customHeight="1" x14ac:dyDescent="0.3">
      <c r="A138" s="4"/>
      <c r="B138" s="4"/>
      <c r="C138" s="4"/>
      <c r="D138" s="4"/>
      <c r="E138" s="7"/>
      <c r="F138" s="7"/>
      <c r="G138" s="9" t="str">
        <f>IF(Table134[[#This Row],[Product ID]]="","","*"&amp;Table134[[#This Row],[Product ID]]&amp;"*")</f>
        <v/>
      </c>
      <c r="H138" s="4"/>
    </row>
    <row r="139" spans="1:8" ht="30" customHeight="1" x14ac:dyDescent="0.3">
      <c r="A139" s="4"/>
      <c r="B139" s="4"/>
      <c r="C139" s="4"/>
      <c r="D139" s="4"/>
      <c r="E139" s="7"/>
      <c r="F139" s="7"/>
      <c r="G139" s="9" t="str">
        <f>IF(Table134[[#This Row],[Product ID]]="","","*"&amp;Table134[[#This Row],[Product ID]]&amp;"*")</f>
        <v/>
      </c>
      <c r="H139" s="4"/>
    </row>
    <row r="140" spans="1:8" ht="30" customHeight="1" x14ac:dyDescent="0.3">
      <c r="A140" s="4"/>
      <c r="B140" s="4"/>
      <c r="C140" s="4"/>
      <c r="D140" s="4"/>
      <c r="E140" s="7"/>
      <c r="F140" s="7"/>
      <c r="G140" s="9" t="str">
        <f>IF(Table134[[#This Row],[Product ID]]="","","*"&amp;Table134[[#This Row],[Product ID]]&amp;"*")</f>
        <v/>
      </c>
      <c r="H140" s="4"/>
    </row>
    <row r="141" spans="1:8" ht="30" customHeight="1" x14ac:dyDescent="0.3">
      <c r="A141" s="4"/>
      <c r="B141" s="4"/>
      <c r="C141" s="4"/>
      <c r="D141" s="4"/>
      <c r="E141" s="7"/>
      <c r="F141" s="7"/>
      <c r="G141" s="9" t="str">
        <f>IF(Table134[[#This Row],[Product ID]]="","","*"&amp;Table134[[#This Row],[Product ID]]&amp;"*")</f>
        <v/>
      </c>
      <c r="H141" s="4"/>
    </row>
    <row r="142" spans="1:8" ht="30" customHeight="1" x14ac:dyDescent="0.3">
      <c r="A142" s="4"/>
      <c r="B142" s="4"/>
      <c r="C142" s="4"/>
      <c r="D142" s="4"/>
      <c r="E142" s="7"/>
      <c r="F142" s="7"/>
      <c r="G142" s="9" t="str">
        <f>IF(Table134[[#This Row],[Product ID]]="","","*"&amp;Table134[[#This Row],[Product ID]]&amp;"*")</f>
        <v/>
      </c>
      <c r="H142" s="4"/>
    </row>
    <row r="143" spans="1:8" ht="30" customHeight="1" x14ac:dyDescent="0.3">
      <c r="A143" s="4"/>
      <c r="B143" s="4"/>
      <c r="C143" s="4"/>
      <c r="D143" s="4"/>
      <c r="E143" s="7"/>
      <c r="F143" s="7"/>
      <c r="G143" s="9" t="str">
        <f>IF(Table134[[#This Row],[Product ID]]="","","*"&amp;Table134[[#This Row],[Product ID]]&amp;"*")</f>
        <v/>
      </c>
      <c r="H143" s="4"/>
    </row>
    <row r="144" spans="1:8" ht="30" customHeight="1" x14ac:dyDescent="0.3">
      <c r="A144" s="4"/>
      <c r="B144" s="4"/>
      <c r="C144" s="4"/>
      <c r="D144" s="4"/>
      <c r="E144" s="7"/>
      <c r="F144" s="7"/>
      <c r="G144" s="9" t="str">
        <f>IF(Table134[[#This Row],[Product ID]]="","","*"&amp;Table134[[#This Row],[Product ID]]&amp;"*")</f>
        <v/>
      </c>
      <c r="H144" s="4"/>
    </row>
    <row r="145" spans="1:8" ht="30" customHeight="1" x14ac:dyDescent="0.3">
      <c r="A145" s="4"/>
      <c r="B145" s="4"/>
      <c r="C145" s="4"/>
      <c r="D145" s="4"/>
      <c r="E145" s="7"/>
      <c r="F145" s="7"/>
      <c r="G145" s="9" t="str">
        <f>IF(Table134[[#This Row],[Product ID]]="","","*"&amp;Table134[[#This Row],[Product ID]]&amp;"*")</f>
        <v/>
      </c>
      <c r="H145" s="4"/>
    </row>
    <row r="146" spans="1:8" ht="30" customHeight="1" x14ac:dyDescent="0.3">
      <c r="A146" s="4"/>
      <c r="B146" s="4"/>
      <c r="C146" s="4"/>
      <c r="D146" s="4"/>
      <c r="E146" s="7"/>
      <c r="F146" s="7"/>
      <c r="G146" s="9" t="str">
        <f>IF(Table134[[#This Row],[Product ID]]="","","*"&amp;Table134[[#This Row],[Product ID]]&amp;"*")</f>
        <v/>
      </c>
      <c r="H146" s="4"/>
    </row>
    <row r="147" spans="1:8" ht="30" customHeight="1" x14ac:dyDescent="0.3">
      <c r="A147" s="4"/>
      <c r="B147" s="4"/>
      <c r="C147" s="4"/>
      <c r="D147" s="4"/>
      <c r="E147" s="7"/>
      <c r="F147" s="7"/>
      <c r="G147" s="9" t="str">
        <f>IF(Table134[[#This Row],[Product ID]]="","","*"&amp;Table134[[#This Row],[Product ID]]&amp;"*")</f>
        <v/>
      </c>
      <c r="H147" s="4"/>
    </row>
    <row r="148" spans="1:8" ht="30" customHeight="1" x14ac:dyDescent="0.3">
      <c r="A148" s="4"/>
      <c r="B148" s="4"/>
      <c r="C148" s="4"/>
      <c r="D148" s="4"/>
      <c r="E148" s="7"/>
      <c r="F148" s="7"/>
      <c r="G148" s="9" t="str">
        <f>IF(Table134[[#This Row],[Product ID]]="","","*"&amp;Table134[[#This Row],[Product ID]]&amp;"*")</f>
        <v/>
      </c>
      <c r="H148" s="4"/>
    </row>
    <row r="149" spans="1:8" ht="30" customHeight="1" x14ac:dyDescent="0.3">
      <c r="A149" s="4"/>
      <c r="B149" s="4"/>
      <c r="C149" s="4"/>
      <c r="D149" s="4"/>
      <c r="E149" s="7"/>
      <c r="F149" s="7"/>
      <c r="G149" s="9" t="str">
        <f>IF(Table134[[#This Row],[Product ID]]="","","*"&amp;Table134[[#This Row],[Product ID]]&amp;"*")</f>
        <v/>
      </c>
      <c r="H149" s="4"/>
    </row>
    <row r="150" spans="1:8" ht="30" customHeight="1" x14ac:dyDescent="0.3">
      <c r="A150" s="4"/>
      <c r="B150" s="4"/>
      <c r="C150" s="4"/>
      <c r="D150" s="4"/>
      <c r="E150" s="7"/>
      <c r="F150" s="7"/>
      <c r="G150" s="9" t="str">
        <f>IF(Table134[[#This Row],[Product ID]]="","","*"&amp;Table134[[#This Row],[Product ID]]&amp;"*")</f>
        <v/>
      </c>
      <c r="H150" s="4"/>
    </row>
    <row r="151" spans="1:8" ht="30" customHeight="1" x14ac:dyDescent="0.3">
      <c r="A151" s="4"/>
      <c r="B151" s="4"/>
      <c r="C151" s="4"/>
      <c r="D151" s="4"/>
      <c r="E151" s="7"/>
      <c r="F151" s="7"/>
      <c r="G151" s="9" t="str">
        <f>IF(Table134[[#This Row],[Product ID]]="","","*"&amp;Table134[[#This Row],[Product ID]]&amp;"*")</f>
        <v/>
      </c>
      <c r="H151" s="4"/>
    </row>
    <row r="152" spans="1:8" ht="30" customHeight="1" x14ac:dyDescent="0.3">
      <c r="A152" s="4"/>
      <c r="B152" s="4"/>
      <c r="C152" s="4"/>
      <c r="D152" s="4"/>
      <c r="E152" s="7"/>
      <c r="F152" s="7"/>
      <c r="G152" s="9" t="str">
        <f>IF(Table134[[#This Row],[Product ID]]="","","*"&amp;Table134[[#This Row],[Product ID]]&amp;"*")</f>
        <v/>
      </c>
      <c r="H152" s="4"/>
    </row>
    <row r="153" spans="1:8" ht="30" customHeight="1" x14ac:dyDescent="0.3">
      <c r="A153" s="4"/>
      <c r="B153" s="4"/>
      <c r="C153" s="4"/>
      <c r="D153" s="4"/>
      <c r="E153" s="7"/>
      <c r="F153" s="7"/>
      <c r="G153" s="9" t="str">
        <f>IF(Table134[[#This Row],[Product ID]]="","","*"&amp;Table134[[#This Row],[Product ID]]&amp;"*")</f>
        <v/>
      </c>
      <c r="H153" s="4"/>
    </row>
    <row r="154" spans="1:8" ht="30" customHeight="1" x14ac:dyDescent="0.3">
      <c r="A154" s="4"/>
      <c r="B154" s="4"/>
      <c r="C154" s="4"/>
      <c r="D154" s="4"/>
      <c r="E154" s="7"/>
      <c r="F154" s="7"/>
      <c r="G154" s="9" t="str">
        <f>IF(Table134[[#This Row],[Product ID]]="","","*"&amp;Table134[[#This Row],[Product ID]]&amp;"*")</f>
        <v/>
      </c>
      <c r="H154" s="4"/>
    </row>
    <row r="155" spans="1:8" ht="30" customHeight="1" x14ac:dyDescent="0.3">
      <c r="A155" s="4"/>
      <c r="B155" s="4"/>
      <c r="C155" s="4"/>
      <c r="D155" s="4"/>
      <c r="E155" s="7"/>
      <c r="F155" s="7"/>
      <c r="G155" s="9" t="str">
        <f>IF(Table134[[#This Row],[Product ID]]="","","*"&amp;Table134[[#This Row],[Product ID]]&amp;"*")</f>
        <v/>
      </c>
      <c r="H155" s="4"/>
    </row>
    <row r="156" spans="1:8" ht="30" customHeight="1" x14ac:dyDescent="0.3">
      <c r="A156" s="4"/>
      <c r="B156" s="4"/>
      <c r="C156" s="4"/>
      <c r="D156" s="4"/>
      <c r="E156" s="7"/>
      <c r="F156" s="7"/>
      <c r="G156" s="9" t="str">
        <f>IF(Table134[[#This Row],[Product ID]]="","","*"&amp;Table134[[#This Row],[Product ID]]&amp;"*")</f>
        <v/>
      </c>
      <c r="H156" s="4"/>
    </row>
    <row r="157" spans="1:8" ht="30" customHeight="1" x14ac:dyDescent="0.3">
      <c r="A157" s="4"/>
      <c r="B157" s="4"/>
      <c r="C157" s="4"/>
      <c r="D157" s="4"/>
      <c r="E157" s="7"/>
      <c r="F157" s="7"/>
      <c r="G157" s="9" t="str">
        <f>IF(Table134[[#This Row],[Product ID]]="","","*"&amp;Table134[[#This Row],[Product ID]]&amp;"*")</f>
        <v/>
      </c>
      <c r="H157" s="4"/>
    </row>
    <row r="158" spans="1:8" ht="30" customHeight="1" x14ac:dyDescent="0.3">
      <c r="A158" s="4"/>
      <c r="B158" s="4"/>
      <c r="C158" s="4"/>
      <c r="D158" s="4"/>
      <c r="E158" s="7"/>
      <c r="F158" s="7"/>
      <c r="G158" s="9" t="str">
        <f>IF(Table134[[#This Row],[Product ID]]="","","*"&amp;Table134[[#This Row],[Product ID]]&amp;"*")</f>
        <v/>
      </c>
      <c r="H158" s="4"/>
    </row>
    <row r="159" spans="1:8" ht="30" customHeight="1" x14ac:dyDescent="0.3">
      <c r="A159" s="4"/>
      <c r="B159" s="4"/>
      <c r="C159" s="4"/>
      <c r="D159" s="4"/>
      <c r="E159" s="7"/>
      <c r="F159" s="7"/>
      <c r="G159" s="9" t="str">
        <f>IF(Table134[[#This Row],[Product ID]]="","","*"&amp;Table134[[#This Row],[Product ID]]&amp;"*")</f>
        <v/>
      </c>
      <c r="H159" s="4"/>
    </row>
    <row r="160" spans="1:8" ht="30" customHeight="1" x14ac:dyDescent="0.3">
      <c r="A160" s="4"/>
      <c r="B160" s="4"/>
      <c r="C160" s="4"/>
      <c r="D160" s="4"/>
      <c r="E160" s="7"/>
      <c r="F160" s="7"/>
      <c r="G160" s="9" t="str">
        <f>IF(Table134[[#This Row],[Product ID]]="","","*"&amp;Table134[[#This Row],[Product ID]]&amp;"*")</f>
        <v/>
      </c>
      <c r="H160" s="4"/>
    </row>
    <row r="161" spans="1:8" ht="30" customHeight="1" x14ac:dyDescent="0.3">
      <c r="A161" s="4"/>
      <c r="B161" s="4"/>
      <c r="C161" s="4"/>
      <c r="D161" s="4"/>
      <c r="E161" s="7"/>
      <c r="F161" s="7"/>
      <c r="G161" s="9" t="str">
        <f>IF(Table134[[#This Row],[Product ID]]="","","*"&amp;Table134[[#This Row],[Product ID]]&amp;"*")</f>
        <v/>
      </c>
      <c r="H161" s="4"/>
    </row>
    <row r="162" spans="1:8" ht="30" customHeight="1" x14ac:dyDescent="0.3">
      <c r="A162" s="4"/>
      <c r="B162" s="4"/>
      <c r="C162" s="4"/>
      <c r="D162" s="4"/>
      <c r="E162" s="7"/>
      <c r="F162" s="7"/>
      <c r="G162" s="9" t="str">
        <f>IF(Table134[[#This Row],[Product ID]]="","","*"&amp;Table134[[#This Row],[Product ID]]&amp;"*")</f>
        <v/>
      </c>
      <c r="H162" s="4"/>
    </row>
    <row r="163" spans="1:8" ht="30" customHeight="1" x14ac:dyDescent="0.3">
      <c r="A163" s="4"/>
      <c r="B163" s="4"/>
      <c r="C163" s="4"/>
      <c r="D163" s="4"/>
      <c r="E163" s="7"/>
      <c r="F163" s="7"/>
      <c r="G163" s="9" t="str">
        <f>IF(Table134[[#This Row],[Product ID]]="","","*"&amp;Table134[[#This Row],[Product ID]]&amp;"*")</f>
        <v/>
      </c>
      <c r="H163" s="4"/>
    </row>
    <row r="164" spans="1:8" ht="30" customHeight="1" x14ac:dyDescent="0.3">
      <c r="A164" s="4"/>
      <c r="B164" s="4"/>
      <c r="C164" s="4"/>
      <c r="D164" s="4"/>
      <c r="E164" s="7"/>
      <c r="F164" s="7"/>
      <c r="G164" s="9" t="str">
        <f>IF(Table134[[#This Row],[Product ID]]="","","*"&amp;Table134[[#This Row],[Product ID]]&amp;"*")</f>
        <v/>
      </c>
      <c r="H164" s="4"/>
    </row>
    <row r="165" spans="1:8" ht="30" customHeight="1" x14ac:dyDescent="0.3">
      <c r="A165" s="4"/>
      <c r="B165" s="4"/>
      <c r="C165" s="4"/>
      <c r="D165" s="4"/>
      <c r="E165" s="7"/>
      <c r="F165" s="7"/>
      <c r="G165" s="9" t="str">
        <f>IF(Table134[[#This Row],[Product ID]]="","","*"&amp;Table134[[#This Row],[Product ID]]&amp;"*")</f>
        <v/>
      </c>
      <c r="H165" s="4"/>
    </row>
    <row r="166" spans="1:8" ht="30" customHeight="1" x14ac:dyDescent="0.3">
      <c r="A166" s="4"/>
      <c r="B166" s="4"/>
      <c r="C166" s="4"/>
      <c r="D166" s="4"/>
      <c r="E166" s="7"/>
      <c r="F166" s="7"/>
      <c r="G166" s="9" t="str">
        <f>IF(Table134[[#This Row],[Product ID]]="","","*"&amp;Table134[[#This Row],[Product ID]]&amp;"*")</f>
        <v/>
      </c>
      <c r="H166" s="4"/>
    </row>
    <row r="167" spans="1:8" ht="30" customHeight="1" x14ac:dyDescent="0.3">
      <c r="A167" s="4"/>
      <c r="B167" s="4"/>
      <c r="C167" s="4"/>
      <c r="D167" s="4"/>
      <c r="E167" s="7"/>
      <c r="F167" s="7"/>
      <c r="G167" s="9" t="str">
        <f>IF(Table134[[#This Row],[Product ID]]="","","*"&amp;Table134[[#This Row],[Product ID]]&amp;"*")</f>
        <v/>
      </c>
      <c r="H167" s="4"/>
    </row>
    <row r="168" spans="1:8" ht="30" customHeight="1" x14ac:dyDescent="0.3">
      <c r="A168" s="4"/>
      <c r="B168" s="4"/>
      <c r="C168" s="4"/>
      <c r="D168" s="4"/>
      <c r="E168" s="7"/>
      <c r="F168" s="7"/>
      <c r="G168" s="9" t="str">
        <f>IF(Table134[[#This Row],[Product ID]]="","","*"&amp;Table134[[#This Row],[Product ID]]&amp;"*")</f>
        <v/>
      </c>
      <c r="H168" s="4"/>
    </row>
    <row r="169" spans="1:8" ht="30" customHeight="1" x14ac:dyDescent="0.3">
      <c r="A169" s="4"/>
      <c r="B169" s="4"/>
      <c r="C169" s="4"/>
      <c r="D169" s="4"/>
      <c r="E169" s="7"/>
      <c r="F169" s="7"/>
      <c r="G169" s="9" t="str">
        <f>IF(Table134[[#This Row],[Product ID]]="","","*"&amp;Table134[[#This Row],[Product ID]]&amp;"*")</f>
        <v/>
      </c>
      <c r="H169" s="4"/>
    </row>
    <row r="170" spans="1:8" ht="30" customHeight="1" x14ac:dyDescent="0.3">
      <c r="A170" s="4"/>
      <c r="B170" s="4"/>
      <c r="C170" s="4"/>
      <c r="D170" s="4"/>
      <c r="E170" s="7"/>
      <c r="F170" s="7"/>
      <c r="G170" s="9" t="str">
        <f>IF(Table134[[#This Row],[Product ID]]="","","*"&amp;Table134[[#This Row],[Product ID]]&amp;"*")</f>
        <v/>
      </c>
      <c r="H170" s="4"/>
    </row>
    <row r="171" spans="1:8" ht="30" customHeight="1" x14ac:dyDescent="0.3">
      <c r="A171" s="4"/>
      <c r="B171" s="4"/>
      <c r="C171" s="4"/>
      <c r="D171" s="4"/>
      <c r="E171" s="7"/>
      <c r="F171" s="7"/>
      <c r="G171" s="9" t="str">
        <f>IF(Table134[[#This Row],[Product ID]]="","","*"&amp;Table134[[#This Row],[Product ID]]&amp;"*")</f>
        <v/>
      </c>
      <c r="H171" s="4"/>
    </row>
    <row r="172" spans="1:8" ht="30" customHeight="1" x14ac:dyDescent="0.3">
      <c r="A172" s="4"/>
      <c r="B172" s="4"/>
      <c r="C172" s="4"/>
      <c r="D172" s="4"/>
      <c r="E172" s="7"/>
      <c r="F172" s="7"/>
      <c r="G172" s="9" t="str">
        <f>IF(Table134[[#This Row],[Product ID]]="","","*"&amp;Table134[[#This Row],[Product ID]]&amp;"*")</f>
        <v/>
      </c>
      <c r="H172" s="4"/>
    </row>
    <row r="173" spans="1:8" ht="30" customHeight="1" x14ac:dyDescent="0.3">
      <c r="A173" s="4"/>
      <c r="B173" s="4"/>
      <c r="C173" s="4"/>
      <c r="D173" s="4"/>
      <c r="E173" s="7"/>
      <c r="F173" s="7"/>
      <c r="G173" s="9" t="str">
        <f>IF(Table134[[#This Row],[Product ID]]="","","*"&amp;Table134[[#This Row],[Product ID]]&amp;"*")</f>
        <v/>
      </c>
      <c r="H173" s="4"/>
    </row>
    <row r="174" spans="1:8" ht="30" customHeight="1" x14ac:dyDescent="0.3">
      <c r="A174" s="4"/>
      <c r="B174" s="4"/>
      <c r="C174" s="4"/>
      <c r="D174" s="4"/>
      <c r="E174" s="7"/>
      <c r="F174" s="7"/>
      <c r="G174" s="9" t="str">
        <f>IF(Table134[[#This Row],[Product ID]]="","","*"&amp;Table134[[#This Row],[Product ID]]&amp;"*")</f>
        <v/>
      </c>
      <c r="H174" s="4"/>
    </row>
    <row r="175" spans="1:8" ht="30" customHeight="1" x14ac:dyDescent="0.3">
      <c r="A175" s="4"/>
      <c r="B175" s="4"/>
      <c r="C175" s="4"/>
      <c r="D175" s="4"/>
      <c r="E175" s="7"/>
      <c r="F175" s="7"/>
      <c r="G175" s="9" t="str">
        <f>IF(Table134[[#This Row],[Product ID]]="","","*"&amp;Table134[[#This Row],[Product ID]]&amp;"*")</f>
        <v/>
      </c>
      <c r="H175" s="4"/>
    </row>
    <row r="176" spans="1:8" ht="30" customHeight="1" x14ac:dyDescent="0.3">
      <c r="A176" s="4"/>
      <c r="B176" s="4"/>
      <c r="C176" s="4"/>
      <c r="D176" s="4"/>
      <c r="E176" s="7"/>
      <c r="F176" s="7"/>
      <c r="G176" s="9" t="str">
        <f>IF(Table134[[#This Row],[Product ID]]="","","*"&amp;Table134[[#This Row],[Product ID]]&amp;"*")</f>
        <v/>
      </c>
      <c r="H176" s="4"/>
    </row>
    <row r="177" spans="1:8" ht="30" customHeight="1" x14ac:dyDescent="0.3">
      <c r="A177" s="4"/>
      <c r="B177" s="4"/>
      <c r="C177" s="4"/>
      <c r="D177" s="4"/>
      <c r="E177" s="7"/>
      <c r="F177" s="7"/>
      <c r="G177" s="9" t="str">
        <f>IF(Table134[[#This Row],[Product ID]]="","","*"&amp;Table134[[#This Row],[Product ID]]&amp;"*")</f>
        <v/>
      </c>
      <c r="H177" s="4"/>
    </row>
    <row r="178" spans="1:8" ht="30" customHeight="1" x14ac:dyDescent="0.3">
      <c r="A178" s="4"/>
      <c r="B178" s="4"/>
      <c r="C178" s="4"/>
      <c r="D178" s="4"/>
      <c r="E178" s="7"/>
      <c r="F178" s="7"/>
      <c r="G178" s="9" t="str">
        <f>IF(Table134[[#This Row],[Product ID]]="","","*"&amp;Table134[[#This Row],[Product ID]]&amp;"*")</f>
        <v/>
      </c>
      <c r="H178" s="4"/>
    </row>
    <row r="179" spans="1:8" ht="30" customHeight="1" x14ac:dyDescent="0.3">
      <c r="A179" s="4"/>
      <c r="B179" s="4"/>
      <c r="C179" s="4"/>
      <c r="D179" s="4"/>
      <c r="E179" s="7"/>
      <c r="F179" s="7"/>
      <c r="G179" s="9" t="str">
        <f>IF(Table134[[#This Row],[Product ID]]="","","*"&amp;Table134[[#This Row],[Product ID]]&amp;"*")</f>
        <v/>
      </c>
      <c r="H179" s="4"/>
    </row>
    <row r="180" spans="1:8" ht="30" customHeight="1" x14ac:dyDescent="0.3">
      <c r="A180" s="4"/>
      <c r="B180" s="4"/>
      <c r="C180" s="4"/>
      <c r="D180" s="4"/>
      <c r="E180" s="7"/>
      <c r="F180" s="7"/>
      <c r="G180" s="9" t="str">
        <f>IF(Table134[[#This Row],[Product ID]]="","","*"&amp;Table134[[#This Row],[Product ID]]&amp;"*")</f>
        <v/>
      </c>
      <c r="H180" s="4"/>
    </row>
    <row r="181" spans="1:8" ht="30" customHeight="1" x14ac:dyDescent="0.3">
      <c r="A181" s="4"/>
      <c r="B181" s="4"/>
      <c r="C181" s="4"/>
      <c r="D181" s="4"/>
      <c r="E181" s="7"/>
      <c r="F181" s="7"/>
      <c r="G181" s="9" t="str">
        <f>IF(Table134[[#This Row],[Product ID]]="","","*"&amp;Table134[[#This Row],[Product ID]]&amp;"*")</f>
        <v/>
      </c>
      <c r="H181" s="4"/>
    </row>
    <row r="182" spans="1:8" ht="30" customHeight="1" x14ac:dyDescent="0.3">
      <c r="A182" s="4"/>
      <c r="B182" s="4"/>
      <c r="C182" s="4"/>
      <c r="D182" s="4"/>
      <c r="E182" s="7"/>
      <c r="F182" s="7"/>
      <c r="G182" s="9" t="str">
        <f>IF(Table134[[#This Row],[Product ID]]="","","*"&amp;Table134[[#This Row],[Product ID]]&amp;"*")</f>
        <v/>
      </c>
      <c r="H182" s="4"/>
    </row>
    <row r="183" spans="1:8" ht="30" customHeight="1" x14ac:dyDescent="0.3">
      <c r="A183" s="4"/>
      <c r="B183" s="4"/>
      <c r="C183" s="4"/>
      <c r="D183" s="4"/>
      <c r="E183" s="7"/>
      <c r="F183" s="7"/>
      <c r="G183" s="9" t="str">
        <f>IF(Table134[[#This Row],[Product ID]]="","","*"&amp;Table134[[#This Row],[Product ID]]&amp;"*")</f>
        <v/>
      </c>
      <c r="H183" s="4"/>
    </row>
    <row r="184" spans="1:8" ht="30" customHeight="1" x14ac:dyDescent="0.3">
      <c r="A184" s="4"/>
      <c r="B184" s="4"/>
      <c r="C184" s="4"/>
      <c r="D184" s="4"/>
      <c r="E184" s="7"/>
      <c r="F184" s="7"/>
      <c r="G184" s="9" t="str">
        <f>IF(Table134[[#This Row],[Product ID]]="","","*"&amp;Table134[[#This Row],[Product ID]]&amp;"*")</f>
        <v/>
      </c>
      <c r="H184" s="4"/>
    </row>
    <row r="185" spans="1:8" ht="30" customHeight="1" x14ac:dyDescent="0.3">
      <c r="A185" s="4"/>
      <c r="B185" s="4"/>
      <c r="C185" s="4"/>
      <c r="D185" s="4"/>
      <c r="E185" s="7"/>
      <c r="F185" s="7"/>
      <c r="G185" s="9" t="str">
        <f>IF(Table134[[#This Row],[Product ID]]="","","*"&amp;Table134[[#This Row],[Product ID]]&amp;"*")</f>
        <v/>
      </c>
      <c r="H185" s="4"/>
    </row>
    <row r="186" spans="1:8" ht="30" customHeight="1" x14ac:dyDescent="0.3">
      <c r="A186" s="4"/>
      <c r="B186" s="4"/>
      <c r="C186" s="4"/>
      <c r="D186" s="4"/>
      <c r="E186" s="7"/>
      <c r="F186" s="7"/>
      <c r="G186" s="9" t="str">
        <f>IF(Table134[[#This Row],[Product ID]]="","","*"&amp;Table134[[#This Row],[Product ID]]&amp;"*")</f>
        <v/>
      </c>
      <c r="H186" s="4"/>
    </row>
    <row r="187" spans="1:8" ht="30" customHeight="1" x14ac:dyDescent="0.3">
      <c r="A187" s="4"/>
      <c r="B187" s="4"/>
      <c r="C187" s="4"/>
      <c r="D187" s="4"/>
      <c r="E187" s="7"/>
      <c r="F187" s="7"/>
      <c r="G187" s="9" t="str">
        <f>IF(Table134[[#This Row],[Product ID]]="","","*"&amp;Table134[[#This Row],[Product ID]]&amp;"*")</f>
        <v/>
      </c>
      <c r="H187" s="4"/>
    </row>
    <row r="188" spans="1:8" ht="30" customHeight="1" x14ac:dyDescent="0.3">
      <c r="A188" s="4"/>
      <c r="B188" s="4"/>
      <c r="C188" s="4"/>
      <c r="D188" s="4"/>
      <c r="E188" s="7"/>
      <c r="F188" s="7"/>
      <c r="G188" s="9" t="str">
        <f>IF(Table134[[#This Row],[Product ID]]="","","*"&amp;Table134[[#This Row],[Product ID]]&amp;"*")</f>
        <v/>
      </c>
      <c r="H188" s="4"/>
    </row>
    <row r="189" spans="1:8" ht="30" customHeight="1" x14ac:dyDescent="0.3">
      <c r="A189" s="4"/>
      <c r="B189" s="4"/>
      <c r="C189" s="4"/>
      <c r="D189" s="4"/>
      <c r="E189" s="7"/>
      <c r="F189" s="7"/>
      <c r="G189" s="9" t="str">
        <f>IF(Table134[[#This Row],[Product ID]]="","","*"&amp;Table134[[#This Row],[Product ID]]&amp;"*")</f>
        <v/>
      </c>
      <c r="H189" s="4"/>
    </row>
    <row r="190" spans="1:8" ht="30" customHeight="1" x14ac:dyDescent="0.3">
      <c r="A190" s="4"/>
      <c r="B190" s="4"/>
      <c r="C190" s="4"/>
      <c r="D190" s="4"/>
      <c r="E190" s="7"/>
      <c r="F190" s="7"/>
      <c r="G190" s="9" t="str">
        <f>IF(Table134[[#This Row],[Product ID]]="","","*"&amp;Table134[[#This Row],[Product ID]]&amp;"*")</f>
        <v/>
      </c>
      <c r="H190" s="4"/>
    </row>
    <row r="191" spans="1:8" ht="30" customHeight="1" x14ac:dyDescent="0.3">
      <c r="A191" s="4"/>
      <c r="B191" s="4"/>
      <c r="C191" s="4"/>
      <c r="D191" s="4"/>
      <c r="E191" s="7"/>
      <c r="F191" s="7"/>
      <c r="G191" s="9" t="str">
        <f>IF(Table134[[#This Row],[Product ID]]="","","*"&amp;Table134[[#This Row],[Product ID]]&amp;"*")</f>
        <v/>
      </c>
      <c r="H191" s="4"/>
    </row>
  </sheetData>
  <conditionalFormatting sqref="A2:H191">
    <cfRule type="containsBlanks" dxfId="29" priority="1">
      <formula>LEN(TRIM(A2))=0</formula>
    </cfRule>
    <cfRule type="notContainsBlanks" dxfId="28" priority="2">
      <formula>LEN(TRIM(A2))&gt;0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59915-6CC8-4EE5-86BE-689B84C1AB70}">
  <sheetPr codeName="Sheet5">
    <tabColor theme="9" tint="-0.499984740745262"/>
  </sheetPr>
  <dimension ref="A1:L191"/>
  <sheetViews>
    <sheetView showGridLines="0" zoomScale="82" zoomScaleNormal="82" workbookViewId="0">
      <pane ySplit="1" topLeftCell="A2" activePane="bottomLeft" state="frozen"/>
      <selection pane="bottomLeft" activeCell="E12" sqref="E12"/>
    </sheetView>
  </sheetViews>
  <sheetFormatPr defaultColWidth="20.77734375" defaultRowHeight="30" customHeight="1" x14ac:dyDescent="0.3"/>
  <cols>
    <col min="1" max="1" width="13.5546875" style="2" customWidth="1"/>
    <col min="2" max="3" width="20.77734375" style="2"/>
    <col min="4" max="8" width="20.77734375" style="8"/>
    <col min="9" max="9" width="26.6640625" style="8" bestFit="1" customWidth="1"/>
    <col min="10" max="11" width="20.77734375" style="8"/>
    <col min="12" max="12" width="20.77734375" style="2"/>
    <col min="13" max="16384" width="20.77734375" style="1"/>
  </cols>
  <sheetData>
    <row r="1" spans="1:12" ht="30" customHeight="1" x14ac:dyDescent="0.3">
      <c r="A1" s="3" t="s">
        <v>0</v>
      </c>
      <c r="B1" s="3" t="s">
        <v>1</v>
      </c>
      <c r="C1" s="3" t="s">
        <v>2</v>
      </c>
      <c r="D1" s="6" t="s">
        <v>3</v>
      </c>
      <c r="E1" s="6" t="s">
        <v>19</v>
      </c>
      <c r="F1" s="6" t="s">
        <v>11</v>
      </c>
      <c r="G1" s="6" t="s">
        <v>12</v>
      </c>
      <c r="H1" s="6" t="s">
        <v>20</v>
      </c>
      <c r="I1" s="6" t="s">
        <v>23</v>
      </c>
      <c r="J1" s="6" t="s">
        <v>22</v>
      </c>
      <c r="K1" s="6" t="s">
        <v>24</v>
      </c>
      <c r="L1" s="3" t="s">
        <v>21</v>
      </c>
    </row>
    <row r="2" spans="1:12" ht="30" customHeight="1" x14ac:dyDescent="0.3">
      <c r="A2" s="4">
        <f t="shared" ref="A2:A33" si="0">IF(item="","",item)</f>
        <v>1001</v>
      </c>
      <c r="B2" s="4" t="str">
        <f>IF(Table1345[[#This Row],[Product ID]]="","",VLOOKUP(Table1345[[#This Row],[Product ID]],data,2,FALSE))</f>
        <v>banana</v>
      </c>
      <c r="C2" s="4" t="str">
        <f>IF(Table1345[[#This Row],[Product ID]]="","",VLOOKUP(Table1345[[#This Row],[Product ID]],data,3,FALSE))</f>
        <v>FRUITS</v>
      </c>
      <c r="D2" s="7">
        <f>IF(Table1345[[#This Row],[Product ID]]="","",VLOOKUP(Table1345[[#This Row],[Product ID]],data,4,FALSE))</f>
        <v>9</v>
      </c>
      <c r="E2" s="7">
        <f>IF(Table1345[[#This Row],[Product ID]]="","",VLOOKUP(Table1345[[#This Row],[Product ID]],data,5,FALSE))</f>
        <v>11</v>
      </c>
      <c r="F2" s="7">
        <f>IF(Table1345[[#This Row],[Product ID]]="","",SUMIFS(Stockin!F:F,Stockin!A:A,Table1345[[#This Row],[Product ID]]))</f>
        <v>108</v>
      </c>
      <c r="G2" s="7">
        <f>IF(Table1345[[#This Row],[Product ID]]="","",SUMIFS(StockOut!G:G,StockOut!B:B,Table1345[[#This Row],[Product ID]]))</f>
        <v>0</v>
      </c>
      <c r="H2" s="7">
        <f>IF(Table1345[[#This Row],[Product ID]]="","",SUM(Table1345[[#This Row],[Unit ]]-Table1345[[#This Row],[Selling Price]])*Table1345[[#This Row],[Transact Qty]])</f>
        <v>0</v>
      </c>
      <c r="I2" s="10">
        <f>IF(Table1345[[#This Row],[Product ID]]="","",SUMIFS(Stockin!E:E,Stockin!A:A,Table1345[[#This Row],[Product ID]]))</f>
        <v>12</v>
      </c>
      <c r="J2" s="10">
        <f>IF(Table1345[[#This Row],[Product ID]]="","",SUMIFS(StockOut!F:F,StockOut!B:B,Table1345[[#This Row],[Product ID]]))</f>
        <v>0</v>
      </c>
      <c r="K2" s="10" t="str">
        <f>IF(A1="","",IF(Table1345[[#This Row],[StockonHand]]&lt;5, "Re-Order","Available"))</f>
        <v>Available</v>
      </c>
      <c r="L2" s="10">
        <f>IF(Table1345[[#This Row],[Product ID]]="","",PRODUCT(Table1345[[#This Row],[Beginning Stocks]]-Table1345[[#This Row],[Transact Qty]]))</f>
        <v>12</v>
      </c>
    </row>
    <row r="3" spans="1:12" ht="30" customHeight="1" x14ac:dyDescent="0.3">
      <c r="A3" s="4">
        <f t="shared" si="0"/>
        <v>1002</v>
      </c>
      <c r="B3" s="4" t="str">
        <f>IF(Table1345[[#This Row],[Product ID]]="","",VLOOKUP(Table1345[[#This Row],[Product ID]],data,2,FALSE))</f>
        <v>cream-o</v>
      </c>
      <c r="C3" s="4" t="str">
        <f>IF(Table1345[[#This Row],[Product ID]]="","",VLOOKUP(Table1345[[#This Row],[Product ID]],data,3,FALSE))</f>
        <v>BISCUIT</v>
      </c>
      <c r="D3" s="7">
        <f>IF(Table1345[[#This Row],[Product ID]]="","",VLOOKUP(Table1345[[#This Row],[Product ID]],data,4,FALSE))</f>
        <v>9</v>
      </c>
      <c r="E3" s="7">
        <f>IF(Table1345[[#This Row],[Product ID]]="","",VLOOKUP(Table1345[[#This Row],[Product ID]],data,5,FALSE))</f>
        <v>11</v>
      </c>
      <c r="F3" s="7">
        <f>IF(Table1345[[#This Row],[Product ID]]="","",SUMIFS(Stockin!F:F,Stockin!A:A,Table1345[[#This Row],[Product ID]]))</f>
        <v>1080</v>
      </c>
      <c r="G3" s="7">
        <f>IF(Table1345[[#This Row],[Product ID]]="","",SUMIFS(StockOut!G:G,StockOut!B:B,Table1345[[#This Row],[Product ID]]))</f>
        <v>0</v>
      </c>
      <c r="H3" s="7">
        <f>IF(Table1345[[#This Row],[Product ID]]="","",SUM(Table1345[[#This Row],[Unit ]]-Table1345[[#This Row],[Selling Price]])*Table1345[[#This Row],[Transact Qty]])</f>
        <v>0</v>
      </c>
      <c r="I3" s="10">
        <f>IF(Table1345[[#This Row],[Product ID]]="","",SUMIFS(Stockin!E:E,Stockin!A:A,Table1345[[#This Row],[Product ID]]))</f>
        <v>120</v>
      </c>
      <c r="J3" s="10">
        <f>IF(Table1345[[#This Row],[Product ID]]="","",SUMIFS(StockOut!F:F,StockOut!B:B,Table1345[[#This Row],[Product ID]]))</f>
        <v>0</v>
      </c>
      <c r="K3" s="10" t="str">
        <f>IF(A2="","",IF(Table1345[[#This Row],[StockonHand]]&lt;5, "Re-Order","Available"))</f>
        <v>Available</v>
      </c>
      <c r="L3" s="10">
        <f>IF(Table1345[[#This Row],[Product ID]]="","",PRODUCT(Table1345[[#This Row],[Beginning Stocks]]-Table1345[[#This Row],[Transact Qty]]))</f>
        <v>120</v>
      </c>
    </row>
    <row r="4" spans="1:12" ht="30" customHeight="1" x14ac:dyDescent="0.3">
      <c r="A4" s="4">
        <f t="shared" si="0"/>
        <v>1003</v>
      </c>
      <c r="B4" s="4" t="str">
        <f>IF(Table1345[[#This Row],[Product ID]]="","",VLOOKUP(Table1345[[#This Row],[Product ID]],data,2,FALSE))</f>
        <v>pantene</v>
      </c>
      <c r="C4" s="4" t="str">
        <f>IF(Table1345[[#This Row],[Product ID]]="","",VLOOKUP(Table1345[[#This Row],[Product ID]],data,3,FALSE))</f>
        <v>SHAMPOO</v>
      </c>
      <c r="D4" s="7">
        <f>IF(Table1345[[#This Row],[Product ID]]="","",VLOOKUP(Table1345[[#This Row],[Product ID]],data,4,FALSE))</f>
        <v>10</v>
      </c>
      <c r="E4" s="7">
        <f>IF(Table1345[[#This Row],[Product ID]]="","",VLOOKUP(Table1345[[#This Row],[Product ID]],data,5,FALSE))</f>
        <v>12</v>
      </c>
      <c r="F4" s="7">
        <f>IF(Table1345[[#This Row],[Product ID]]="","",SUMIFS(Stockin!F:F,Stockin!A:A,Table1345[[#This Row],[Product ID]]))</f>
        <v>0</v>
      </c>
      <c r="G4" s="7">
        <f>IF(Table1345[[#This Row],[Product ID]]="","",SUMIFS(StockOut!G:G,StockOut!B:B,Table1345[[#This Row],[Product ID]]))</f>
        <v>0</v>
      </c>
      <c r="H4" s="7">
        <f>IF(Table1345[[#This Row],[Product ID]]="","",SUM(Table1345[[#This Row],[Unit ]]-Table1345[[#This Row],[Selling Price]])*Table1345[[#This Row],[Transact Qty]])</f>
        <v>0</v>
      </c>
      <c r="I4" s="10">
        <f>IF(Table1345[[#This Row],[Product ID]]="","",SUMIFS(Stockin!E:E,Stockin!A:A,Table1345[[#This Row],[Product ID]]))</f>
        <v>0</v>
      </c>
      <c r="J4" s="10">
        <f>IF(Table1345[[#This Row],[Product ID]]="","",SUMIFS(StockOut!F:F,StockOut!B:B,Table1345[[#This Row],[Product ID]]))</f>
        <v>0</v>
      </c>
      <c r="K4" s="10" t="str">
        <f>IF(A3="","",IF(Table1345[[#This Row],[StockonHand]]&lt;5, "Re-Order","Available"))</f>
        <v>Re-Order</v>
      </c>
      <c r="L4" s="10">
        <f>IF(Table1345[[#This Row],[Product ID]]="","",PRODUCT(Table1345[[#This Row],[Beginning Stocks]]-Table1345[[#This Row],[Transact Qty]]))</f>
        <v>0</v>
      </c>
    </row>
    <row r="5" spans="1:12" ht="30" customHeight="1" x14ac:dyDescent="0.3">
      <c r="A5" s="4">
        <f t="shared" si="0"/>
        <v>1004</v>
      </c>
      <c r="B5" s="4" t="str">
        <f>IF(Table1345[[#This Row],[Product ID]]="","",VLOOKUP(Table1345[[#This Row],[Product ID]],data,2,FALSE))</f>
        <v>clear</v>
      </c>
      <c r="C5" s="4" t="str">
        <f>IF(Table1345[[#This Row],[Product ID]]="","",VLOOKUP(Table1345[[#This Row],[Product ID]],data,3,FALSE))</f>
        <v>SHAMPOO</v>
      </c>
      <c r="D5" s="7">
        <f>IF(Table1345[[#This Row],[Product ID]]="","",VLOOKUP(Table1345[[#This Row],[Product ID]],data,4,FALSE))</f>
        <v>11</v>
      </c>
      <c r="E5" s="7">
        <f>IF(Table1345[[#This Row],[Product ID]]="","",VLOOKUP(Table1345[[#This Row],[Product ID]],data,5,FALSE))</f>
        <v>16</v>
      </c>
      <c r="F5" s="7">
        <f>IF(Table1345[[#This Row],[Product ID]]="","",SUMIFS(Stockin!F:F,Stockin!A:A,Table1345[[#This Row],[Product ID]]))</f>
        <v>0</v>
      </c>
      <c r="G5" s="7">
        <f>IF(Table1345[[#This Row],[Product ID]]="","",SUMIFS(StockOut!G:G,StockOut!B:B,Table1345[[#This Row],[Product ID]]))</f>
        <v>0</v>
      </c>
      <c r="H5" s="7">
        <f>IF(Table1345[[#This Row],[Product ID]]="","",SUM(Table1345[[#This Row],[Unit ]]-Table1345[[#This Row],[Selling Price]])*Table1345[[#This Row],[Transact Qty]])</f>
        <v>0</v>
      </c>
      <c r="I5" s="10">
        <f>IF(Table1345[[#This Row],[Product ID]]="","",SUMIFS(Stockin!E:E,Stockin!A:A,Table1345[[#This Row],[Product ID]]))</f>
        <v>0</v>
      </c>
      <c r="J5" s="10">
        <f>IF(Table1345[[#This Row],[Product ID]]="","",SUMIFS(StockOut!F:F,StockOut!B:B,Table1345[[#This Row],[Product ID]]))</f>
        <v>0</v>
      </c>
      <c r="K5" s="10" t="str">
        <f>IF(A4="","",IF(Table1345[[#This Row],[StockonHand]]&lt;5, "Re-Order","Available"))</f>
        <v>Re-Order</v>
      </c>
      <c r="L5" s="10">
        <f>IF(Table1345[[#This Row],[Product ID]]="","",PRODUCT(Table1345[[#This Row],[Beginning Stocks]]-Table1345[[#This Row],[Transact Qty]]))</f>
        <v>0</v>
      </c>
    </row>
    <row r="6" spans="1:12" ht="30" customHeight="1" x14ac:dyDescent="0.3">
      <c r="A6" s="4">
        <f t="shared" si="0"/>
        <v>1005</v>
      </c>
      <c r="B6" s="4" t="str">
        <f>IF(Table1345[[#This Row],[Product ID]]="","",VLOOKUP(Table1345[[#This Row],[Product ID]],data,2,FALSE))</f>
        <v>rc cola</v>
      </c>
      <c r="C6" s="4" t="str">
        <f>IF(Table1345[[#This Row],[Product ID]]="","",VLOOKUP(Table1345[[#This Row],[Product ID]],data,3,FALSE))</f>
        <v>SOFTDRINKS</v>
      </c>
      <c r="D6" s="7">
        <f>IF(Table1345[[#This Row],[Product ID]]="","",VLOOKUP(Table1345[[#This Row],[Product ID]],data,4,FALSE))</f>
        <v>21</v>
      </c>
      <c r="E6" s="7">
        <f>IF(Table1345[[#This Row],[Product ID]]="","",VLOOKUP(Table1345[[#This Row],[Product ID]],data,5,FALSE))</f>
        <v>25</v>
      </c>
      <c r="F6" s="7">
        <f>IF(Table1345[[#This Row],[Product ID]]="","",SUMIFS(Stockin!F:F,Stockin!A:A,Table1345[[#This Row],[Product ID]]))</f>
        <v>252</v>
      </c>
      <c r="G6" s="7">
        <f>IF(Table1345[[#This Row],[Product ID]]="","",SUMIFS(StockOut!G:G,StockOut!B:B,Table1345[[#This Row],[Product ID]]))</f>
        <v>0</v>
      </c>
      <c r="H6" s="7">
        <f>IF(Table1345[[#This Row],[Product ID]]="","",SUM(Table1345[[#This Row],[Unit ]]-Table1345[[#This Row],[Selling Price]])*Table1345[[#This Row],[Transact Qty]])</f>
        <v>0</v>
      </c>
      <c r="I6" s="10">
        <f>IF(Table1345[[#This Row],[Product ID]]="","",SUMIFS(Stockin!E:E,Stockin!A:A,Table1345[[#This Row],[Product ID]]))</f>
        <v>12</v>
      </c>
      <c r="J6" s="10">
        <f>IF(Table1345[[#This Row],[Product ID]]="","",SUMIFS(StockOut!F:F,StockOut!B:B,Table1345[[#This Row],[Product ID]]))</f>
        <v>0</v>
      </c>
      <c r="K6" s="10" t="str">
        <f>IF(A5="","",IF(Table1345[[#This Row],[StockonHand]]&lt;5, "Re-Order","Available"))</f>
        <v>Available</v>
      </c>
      <c r="L6" s="10">
        <f>IF(Table1345[[#This Row],[Product ID]]="","",PRODUCT(Table1345[[#This Row],[Beginning Stocks]]-Table1345[[#This Row],[Transact Qty]]))</f>
        <v>12</v>
      </c>
    </row>
    <row r="7" spans="1:12" ht="30" customHeight="1" x14ac:dyDescent="0.3">
      <c r="A7" s="4">
        <f t="shared" si="0"/>
        <v>1006</v>
      </c>
      <c r="B7" s="4" t="str">
        <f>IF(Table1345[[#This Row],[Product ID]]="","",VLOOKUP(Table1345[[#This Row],[Product ID]],data,2,FALSE))</f>
        <v>CHOCO MUCHO</v>
      </c>
      <c r="C7" s="4" t="str">
        <f>IF(Table1345[[#This Row],[Product ID]]="","",VLOOKUP(Table1345[[#This Row],[Product ID]],data,3,FALSE))</f>
        <v>CHOCOLATE</v>
      </c>
      <c r="D7" s="7">
        <f>IF(Table1345[[#This Row],[Product ID]]="","",VLOOKUP(Table1345[[#This Row],[Product ID]],data,4,FALSE))</f>
        <v>2</v>
      </c>
      <c r="E7" s="7">
        <f>IF(Table1345[[#This Row],[Product ID]]="","",VLOOKUP(Table1345[[#This Row],[Product ID]],data,5,FALSE))</f>
        <v>5</v>
      </c>
      <c r="F7" s="7">
        <f>IF(Table1345[[#This Row],[Product ID]]="","",SUMIFS(Stockin!F:F,Stockin!A:A,Table1345[[#This Row],[Product ID]]))</f>
        <v>0</v>
      </c>
      <c r="G7" s="7">
        <f>IF(Table1345[[#This Row],[Product ID]]="","",SUMIFS(StockOut!G:G,StockOut!B:B,Table1345[[#This Row],[Product ID]]))</f>
        <v>0</v>
      </c>
      <c r="H7" s="7">
        <f>IF(Table1345[[#This Row],[Product ID]]="","",SUM(Table1345[[#This Row],[Unit ]]-Table1345[[#This Row],[Selling Price]])*Table1345[[#This Row],[Transact Qty]])</f>
        <v>0</v>
      </c>
      <c r="I7" s="10">
        <f>IF(Table1345[[#This Row],[Product ID]]="","",SUMIFS(Stockin!E:E,Stockin!A:A,Table1345[[#This Row],[Product ID]]))</f>
        <v>0</v>
      </c>
      <c r="J7" s="10">
        <f>IF(Table1345[[#This Row],[Product ID]]="","",SUMIFS(StockOut!F:F,StockOut!B:B,Table1345[[#This Row],[Product ID]]))</f>
        <v>0</v>
      </c>
      <c r="K7" s="10" t="str">
        <f>IF(A6="","",IF(Table1345[[#This Row],[StockonHand]]&lt;5, "Re-Order","Available"))</f>
        <v>Re-Order</v>
      </c>
      <c r="L7" s="10">
        <f>IF(Table1345[[#This Row],[Product ID]]="","",PRODUCT(Table1345[[#This Row],[Beginning Stocks]]-Table1345[[#This Row],[Transact Qty]]))</f>
        <v>0</v>
      </c>
    </row>
    <row r="8" spans="1:12" ht="30" customHeight="1" x14ac:dyDescent="0.3">
      <c r="A8" s="4" t="str">
        <f t="shared" si="0"/>
        <v/>
      </c>
      <c r="B8" s="4" t="str">
        <f>IF(Table1345[[#This Row],[Product ID]]="","",VLOOKUP(Table1345[[#This Row],[Product ID]],data,2,FALSE))</f>
        <v/>
      </c>
      <c r="C8" s="4" t="str">
        <f>IF(Table1345[[#This Row],[Product ID]]="","",VLOOKUP(Table1345[[#This Row],[Product ID]],data,3,FALSE))</f>
        <v/>
      </c>
      <c r="D8" s="7" t="str">
        <f>IF(Table1345[[#This Row],[Product ID]]="","",VLOOKUP(Table1345[[#This Row],[Product ID]],data,4,FALSE))</f>
        <v/>
      </c>
      <c r="E8" s="7" t="str">
        <f>IF(Table1345[[#This Row],[Product ID]]="","",VLOOKUP(Table1345[[#This Row],[Product ID]],data,5,FALSE))</f>
        <v/>
      </c>
      <c r="F8" s="7" t="str">
        <f>IF(Table1345[[#This Row],[Product ID]]="","",SUMIFS(Stockin!F:F,Stockin!A:A,Table1345[[#This Row],[Product ID]]))</f>
        <v/>
      </c>
      <c r="G8" s="7" t="str">
        <f>IF(Table1345[[#This Row],[Product ID]]="","",SUMIFS(StockOut!G:G,StockOut!B:B,Table1345[[#This Row],[Product ID]]))</f>
        <v/>
      </c>
      <c r="H8" s="7" t="str">
        <f>IF(Table1345[[#This Row],[Product ID]]="","",SUM(Table1345[[#This Row],[Unit ]]-Table1345[[#This Row],[Selling Price]])*Table1345[[#This Row],[Transact Qty]])</f>
        <v/>
      </c>
      <c r="I8" s="10" t="str">
        <f>IF(Table1345[[#This Row],[Product ID]]="","",SUMIFS(Stockin!E:E,Stockin!A:A,Table1345[[#This Row],[Product ID]]))</f>
        <v/>
      </c>
      <c r="J8" s="10" t="str">
        <f>IF(Table1345[[#This Row],[Product ID]]="","",SUMIFS(StockOut!F:F,StockOut!B:B,Table1345[[#This Row],[Product ID]]))</f>
        <v/>
      </c>
      <c r="K8" s="10" t="str">
        <f>IF(A7="","",IF(Table1345[[#This Row],[StockonHand]]&lt;5, "Re-Order","Available"))</f>
        <v>Available</v>
      </c>
      <c r="L8" s="10" t="str">
        <f>IF(Table1345[[#This Row],[Product ID]]="","",PRODUCT(Table1345[[#This Row],[Beginning Stocks]]-Table1345[[#This Row],[Transact Qty]]))</f>
        <v/>
      </c>
    </row>
    <row r="9" spans="1:12" ht="30" customHeight="1" x14ac:dyDescent="0.3">
      <c r="A9" s="4" t="str">
        <f t="shared" si="0"/>
        <v/>
      </c>
      <c r="B9" s="4" t="str">
        <f>IF(Table1345[[#This Row],[Product ID]]="","",VLOOKUP(Table1345[[#This Row],[Product ID]],data,2,FALSE))</f>
        <v/>
      </c>
      <c r="C9" s="4" t="str">
        <f>IF(Table1345[[#This Row],[Product ID]]="","",VLOOKUP(Table1345[[#This Row],[Product ID]],data,3,FALSE))</f>
        <v/>
      </c>
      <c r="D9" s="7" t="str">
        <f>IF(Table1345[[#This Row],[Product ID]]="","",VLOOKUP(Table1345[[#This Row],[Product ID]],data,4,FALSE))</f>
        <v/>
      </c>
      <c r="E9" s="7" t="str">
        <f>IF(Table1345[[#This Row],[Product ID]]="","",VLOOKUP(Table1345[[#This Row],[Product ID]],data,5,FALSE))</f>
        <v/>
      </c>
      <c r="F9" s="7" t="str">
        <f>IF(Table1345[[#This Row],[Product ID]]="","",SUMIFS(Stockin!F:F,Stockin!A:A,Table1345[[#This Row],[Product ID]]))</f>
        <v/>
      </c>
      <c r="G9" s="7" t="str">
        <f>IF(Table1345[[#This Row],[Product ID]]="","",SUMIFS(StockOut!G:G,StockOut!B:B,Table1345[[#This Row],[Product ID]]))</f>
        <v/>
      </c>
      <c r="H9" s="7" t="str">
        <f>IF(Table1345[[#This Row],[Product ID]]="","",SUM(Table1345[[#This Row],[Unit ]]-Table1345[[#This Row],[Selling Price]])*Table1345[[#This Row],[Transact Qty]])</f>
        <v/>
      </c>
      <c r="I9" s="10" t="str">
        <f>IF(Table1345[[#This Row],[Product ID]]="","",SUMIFS(Stockin!E:E,Stockin!A:A,Table1345[[#This Row],[Product ID]]))</f>
        <v/>
      </c>
      <c r="J9" s="10" t="str">
        <f>IF(Table1345[[#This Row],[Product ID]]="","",SUMIFS(StockOut!F:F,StockOut!B:B,Table1345[[#This Row],[Product ID]]))</f>
        <v/>
      </c>
      <c r="K9" s="10" t="str">
        <f>IF(A8="","",IF(Table1345[[#This Row],[StockonHand]]&lt;5, "Re-Order","Available"))</f>
        <v/>
      </c>
      <c r="L9" s="10" t="str">
        <f>IF(Table1345[[#This Row],[Product ID]]="","",PRODUCT(Table1345[[#This Row],[Beginning Stocks]]-Table1345[[#This Row],[Transact Qty]]))</f>
        <v/>
      </c>
    </row>
    <row r="10" spans="1:12" ht="30" customHeight="1" x14ac:dyDescent="0.3">
      <c r="A10" s="4" t="str">
        <f t="shared" si="0"/>
        <v/>
      </c>
      <c r="B10" s="4" t="str">
        <f>IF(Table1345[[#This Row],[Product ID]]="","",VLOOKUP(Table1345[[#This Row],[Product ID]],data,2,FALSE))</f>
        <v/>
      </c>
      <c r="C10" s="4" t="str">
        <f>IF(Table1345[[#This Row],[Product ID]]="","",VLOOKUP(Table1345[[#This Row],[Product ID]],data,3,FALSE))</f>
        <v/>
      </c>
      <c r="D10" s="7" t="str">
        <f>IF(Table1345[[#This Row],[Product ID]]="","",VLOOKUP(Table1345[[#This Row],[Product ID]],data,4,FALSE))</f>
        <v/>
      </c>
      <c r="E10" s="7" t="str">
        <f>IF(Table1345[[#This Row],[Product ID]]="","",VLOOKUP(Table1345[[#This Row],[Product ID]],data,5,FALSE))</f>
        <v/>
      </c>
      <c r="F10" s="7" t="str">
        <f>IF(Table1345[[#This Row],[Product ID]]="","",SUMIFS(Stockin!F:F,Stockin!A:A,Table1345[[#This Row],[Product ID]]))</f>
        <v/>
      </c>
      <c r="G10" s="7" t="str">
        <f>IF(Table1345[[#This Row],[Product ID]]="","",SUMIFS(StockOut!G:G,StockOut!B:B,Table1345[[#This Row],[Product ID]]))</f>
        <v/>
      </c>
      <c r="H10" s="7" t="str">
        <f>IF(Table1345[[#This Row],[Product ID]]="","",SUM(Table1345[[#This Row],[Unit ]]-Table1345[[#This Row],[Selling Price]])*Table1345[[#This Row],[Transact Qty]])</f>
        <v/>
      </c>
      <c r="I10" s="10" t="str">
        <f>IF(Table1345[[#This Row],[Product ID]]="","",SUMIFS(Stockin!E:E,Stockin!A:A,Table1345[[#This Row],[Product ID]]))</f>
        <v/>
      </c>
      <c r="J10" s="10" t="str">
        <f>IF(Table1345[[#This Row],[Product ID]]="","",SUMIFS(StockOut!F:F,StockOut!B:B,Table1345[[#This Row],[Product ID]]))</f>
        <v/>
      </c>
      <c r="K10" s="10" t="str">
        <f>IF(A9="","",IF(Table1345[[#This Row],[StockonHand]]&lt;5, "Re-Order","Available"))</f>
        <v/>
      </c>
      <c r="L10" s="10" t="str">
        <f>IF(Table1345[[#This Row],[Product ID]]="","",PRODUCT(Table1345[[#This Row],[Beginning Stocks]]-Table1345[[#This Row],[Transact Qty]]))</f>
        <v/>
      </c>
    </row>
    <row r="11" spans="1:12" ht="30" customHeight="1" x14ac:dyDescent="0.3">
      <c r="A11" s="4" t="str">
        <f t="shared" si="0"/>
        <v/>
      </c>
      <c r="B11" s="4" t="str">
        <f>IF(Table1345[[#This Row],[Product ID]]="","",VLOOKUP(Table1345[[#This Row],[Product ID]],data,2,FALSE))</f>
        <v/>
      </c>
      <c r="C11" s="4" t="str">
        <f>IF(Table1345[[#This Row],[Product ID]]="","",VLOOKUP(Table1345[[#This Row],[Product ID]],data,3,FALSE))</f>
        <v/>
      </c>
      <c r="D11" s="7" t="str">
        <f>IF(Table1345[[#This Row],[Product ID]]="","",VLOOKUP(Table1345[[#This Row],[Product ID]],data,4,FALSE))</f>
        <v/>
      </c>
      <c r="E11" s="7" t="str">
        <f>IF(Table1345[[#This Row],[Product ID]]="","",VLOOKUP(Table1345[[#This Row],[Product ID]],data,5,FALSE))</f>
        <v/>
      </c>
      <c r="F11" s="7" t="str">
        <f>IF(Table1345[[#This Row],[Product ID]]="","",SUMIFS(Stockin!F:F,Stockin!A:A,Table1345[[#This Row],[Product ID]]))</f>
        <v/>
      </c>
      <c r="G11" s="7" t="str">
        <f>IF(Table1345[[#This Row],[Product ID]]="","",SUMIFS(StockOut!G:G,StockOut!B:B,Table1345[[#This Row],[Product ID]]))</f>
        <v/>
      </c>
      <c r="H11" s="7" t="str">
        <f>IF(Table1345[[#This Row],[Product ID]]="","",SUM(Table1345[[#This Row],[Unit ]]-Table1345[[#This Row],[Selling Price]])*Table1345[[#This Row],[Transact Qty]])</f>
        <v/>
      </c>
      <c r="I11" s="10" t="str">
        <f>IF(Table1345[[#This Row],[Product ID]]="","",SUMIFS(Stockin!E:E,Stockin!A:A,Table1345[[#This Row],[Product ID]]))</f>
        <v/>
      </c>
      <c r="J11" s="10" t="str">
        <f>IF(Table1345[[#This Row],[Product ID]]="","",SUMIFS(StockOut!F:F,StockOut!B:B,Table1345[[#This Row],[Product ID]]))</f>
        <v/>
      </c>
      <c r="K11" s="10" t="str">
        <f>IF(A10="","",IF(Table1345[[#This Row],[StockonHand]]&lt;5, "Re-Order","Available"))</f>
        <v/>
      </c>
      <c r="L11" s="10" t="str">
        <f>IF(Table1345[[#This Row],[Product ID]]="","",PRODUCT(Table1345[[#This Row],[Beginning Stocks]]-Table1345[[#This Row],[Transact Qty]]))</f>
        <v/>
      </c>
    </row>
    <row r="12" spans="1:12" ht="30" customHeight="1" x14ac:dyDescent="0.3">
      <c r="A12" s="4" t="str">
        <f t="shared" si="0"/>
        <v/>
      </c>
      <c r="B12" s="4" t="str">
        <f>IF(Table1345[[#This Row],[Product ID]]="","",VLOOKUP(Table1345[[#This Row],[Product ID]],data,2,FALSE))</f>
        <v/>
      </c>
      <c r="C12" s="4" t="str">
        <f>IF(Table1345[[#This Row],[Product ID]]="","",VLOOKUP(Table1345[[#This Row],[Product ID]],data,3,FALSE))</f>
        <v/>
      </c>
      <c r="D12" s="7" t="str">
        <f>IF(Table1345[[#This Row],[Product ID]]="","",VLOOKUP(Table1345[[#This Row],[Product ID]],data,4,FALSE))</f>
        <v/>
      </c>
      <c r="E12" s="7" t="str">
        <f>IF(Table1345[[#This Row],[Product ID]]="","",VLOOKUP(Table1345[[#This Row],[Product ID]],data,5,FALSE))</f>
        <v/>
      </c>
      <c r="F12" s="7" t="str">
        <f>IF(Table1345[[#This Row],[Product ID]]="","",SUMIFS(Stockin!F:F,Stockin!A:A,Table1345[[#This Row],[Product ID]]))</f>
        <v/>
      </c>
      <c r="G12" s="7" t="str">
        <f>IF(Table1345[[#This Row],[Product ID]]="","",SUMIFS(StockOut!G:G,StockOut!B:B,Table1345[[#This Row],[Product ID]]))</f>
        <v/>
      </c>
      <c r="H12" s="7" t="str">
        <f>IF(Table1345[[#This Row],[Product ID]]="","",SUM(Table1345[[#This Row],[Unit ]]-Table1345[[#This Row],[Selling Price]])*Table1345[[#This Row],[Transact Qty]])</f>
        <v/>
      </c>
      <c r="I12" s="10" t="str">
        <f>IF(Table1345[[#This Row],[Product ID]]="","",SUMIFS(Stockin!E:E,Stockin!A:A,Table1345[[#This Row],[Product ID]]))</f>
        <v/>
      </c>
      <c r="J12" s="10" t="str">
        <f>IF(Table1345[[#This Row],[Product ID]]="","",SUMIFS(StockOut!F:F,StockOut!B:B,Table1345[[#This Row],[Product ID]]))</f>
        <v/>
      </c>
      <c r="K12" s="10" t="str">
        <f>IF(A11="","",IF(Table1345[[#This Row],[StockonHand]]&lt;5, "Re-Order","Available"))</f>
        <v/>
      </c>
      <c r="L12" s="10" t="str">
        <f>IF(Table1345[[#This Row],[Product ID]]="","",PRODUCT(Table1345[[#This Row],[Beginning Stocks]]-Table1345[[#This Row],[Transact Qty]]))</f>
        <v/>
      </c>
    </row>
    <row r="13" spans="1:12" ht="30" customHeight="1" x14ac:dyDescent="0.3">
      <c r="A13" s="4" t="str">
        <f t="shared" si="0"/>
        <v/>
      </c>
      <c r="B13" s="4" t="str">
        <f>IF(Table1345[[#This Row],[Product ID]]="","",VLOOKUP(Table1345[[#This Row],[Product ID]],data,2,FALSE))</f>
        <v/>
      </c>
      <c r="C13" s="4" t="str">
        <f>IF(Table1345[[#This Row],[Product ID]]="","",VLOOKUP(Table1345[[#This Row],[Product ID]],data,3,FALSE))</f>
        <v/>
      </c>
      <c r="D13" s="7" t="str">
        <f>IF(Table1345[[#This Row],[Product ID]]="","",VLOOKUP(Table1345[[#This Row],[Product ID]],data,4,FALSE))</f>
        <v/>
      </c>
      <c r="E13" s="7" t="str">
        <f>IF(Table1345[[#This Row],[Product ID]]="","",VLOOKUP(Table1345[[#This Row],[Product ID]],data,5,FALSE))</f>
        <v/>
      </c>
      <c r="F13" s="7" t="str">
        <f>IF(Table1345[[#This Row],[Product ID]]="","",SUMIFS(Stockin!F:F,Stockin!A:A,Table1345[[#This Row],[Product ID]]))</f>
        <v/>
      </c>
      <c r="G13" s="7" t="str">
        <f>IF(Table1345[[#This Row],[Product ID]]="","",SUMIFS(StockOut!G:G,StockOut!B:B,Table1345[[#This Row],[Product ID]]))</f>
        <v/>
      </c>
      <c r="H13" s="7" t="str">
        <f>IF(Table1345[[#This Row],[Product ID]]="","",SUM(Table1345[[#This Row],[Unit ]]-Table1345[[#This Row],[Selling Price]])*Table1345[[#This Row],[Transact Qty]])</f>
        <v/>
      </c>
      <c r="I13" s="10" t="str">
        <f>IF(Table1345[[#This Row],[Product ID]]="","",SUMIFS(Stockin!E:E,Stockin!A:A,Table1345[[#This Row],[Product ID]]))</f>
        <v/>
      </c>
      <c r="J13" s="10" t="str">
        <f>IF(Table1345[[#This Row],[Product ID]]="","",SUMIFS(StockOut!F:F,StockOut!B:B,Table1345[[#This Row],[Product ID]]))</f>
        <v/>
      </c>
      <c r="K13" s="10" t="str">
        <f>IF(A12="","",IF(Table1345[[#This Row],[StockonHand]]&lt;5, "Re-Order","Available"))</f>
        <v/>
      </c>
      <c r="L13" s="10" t="str">
        <f>IF(Table1345[[#This Row],[Product ID]]="","",PRODUCT(Table1345[[#This Row],[Beginning Stocks]]-Table1345[[#This Row],[Transact Qty]]))</f>
        <v/>
      </c>
    </row>
    <row r="14" spans="1:12" ht="30" customHeight="1" x14ac:dyDescent="0.3">
      <c r="A14" s="4" t="str">
        <f t="shared" si="0"/>
        <v/>
      </c>
      <c r="B14" s="4" t="str">
        <f>IF(Table1345[[#This Row],[Product ID]]="","",VLOOKUP(Table1345[[#This Row],[Product ID]],data,2,FALSE))</f>
        <v/>
      </c>
      <c r="C14" s="4" t="str">
        <f>IF(Table1345[[#This Row],[Product ID]]="","",VLOOKUP(Table1345[[#This Row],[Product ID]],data,3,FALSE))</f>
        <v/>
      </c>
      <c r="D14" s="7" t="str">
        <f>IF(Table1345[[#This Row],[Product ID]]="","",VLOOKUP(Table1345[[#This Row],[Product ID]],data,4,FALSE))</f>
        <v/>
      </c>
      <c r="E14" s="7" t="str">
        <f>IF(Table1345[[#This Row],[Product ID]]="","",VLOOKUP(Table1345[[#This Row],[Product ID]],data,5,FALSE))</f>
        <v/>
      </c>
      <c r="F14" s="7" t="str">
        <f>IF(Table1345[[#This Row],[Product ID]]="","",SUMIFS(Stockin!F:F,Stockin!A:A,Table1345[[#This Row],[Product ID]]))</f>
        <v/>
      </c>
      <c r="G14" s="7" t="str">
        <f>IF(Table1345[[#This Row],[Product ID]]="","",SUMIFS(StockOut!G:G,StockOut!B:B,Table1345[[#This Row],[Product ID]]))</f>
        <v/>
      </c>
      <c r="H14" s="7" t="str">
        <f>IF(Table1345[[#This Row],[Product ID]]="","",SUM(Table1345[[#This Row],[Unit ]]-Table1345[[#This Row],[Selling Price]])*Table1345[[#This Row],[Transact Qty]])</f>
        <v/>
      </c>
      <c r="I14" s="10" t="str">
        <f>IF(Table1345[[#This Row],[Product ID]]="","",SUMIFS(Stockin!E:E,Stockin!A:A,Table1345[[#This Row],[Product ID]]))</f>
        <v/>
      </c>
      <c r="J14" s="10" t="str">
        <f>IF(Table1345[[#This Row],[Product ID]]="","",SUMIFS(StockOut!F:F,StockOut!B:B,Table1345[[#This Row],[Product ID]]))</f>
        <v/>
      </c>
      <c r="K14" s="10" t="str">
        <f>IF(A13="","",IF(Table1345[[#This Row],[StockonHand]]&lt;5, "Re-Order","Available"))</f>
        <v/>
      </c>
      <c r="L14" s="10" t="str">
        <f>IF(Table1345[[#This Row],[Product ID]]="","",PRODUCT(Table1345[[#This Row],[Beginning Stocks]]-Table1345[[#This Row],[Transact Qty]]))</f>
        <v/>
      </c>
    </row>
    <row r="15" spans="1:12" ht="30" customHeight="1" x14ac:dyDescent="0.3">
      <c r="A15" s="4" t="str">
        <f t="shared" si="0"/>
        <v/>
      </c>
      <c r="B15" s="4" t="str">
        <f>IF(Table1345[[#This Row],[Product ID]]="","",VLOOKUP(Table1345[[#This Row],[Product ID]],data,2,FALSE))</f>
        <v/>
      </c>
      <c r="C15" s="4" t="str">
        <f>IF(Table1345[[#This Row],[Product ID]]="","",VLOOKUP(Table1345[[#This Row],[Product ID]],data,3,FALSE))</f>
        <v/>
      </c>
      <c r="D15" s="7" t="str">
        <f>IF(Table1345[[#This Row],[Product ID]]="","",VLOOKUP(Table1345[[#This Row],[Product ID]],data,4,FALSE))</f>
        <v/>
      </c>
      <c r="E15" s="7" t="str">
        <f>IF(Table1345[[#This Row],[Product ID]]="","",VLOOKUP(Table1345[[#This Row],[Product ID]],data,5,FALSE))</f>
        <v/>
      </c>
      <c r="F15" s="7" t="str">
        <f>IF(Table1345[[#This Row],[Product ID]]="","",SUMIFS(Stockin!F:F,Stockin!A:A,Table1345[[#This Row],[Product ID]]))</f>
        <v/>
      </c>
      <c r="G15" s="7" t="str">
        <f>IF(Table1345[[#This Row],[Product ID]]="","",SUMIFS(StockOut!G:G,StockOut!B:B,Table1345[[#This Row],[Product ID]]))</f>
        <v/>
      </c>
      <c r="H15" s="7" t="str">
        <f>IF(Table1345[[#This Row],[Product ID]]="","",SUM(Table1345[[#This Row],[Unit ]]-Table1345[[#This Row],[Selling Price]])*Table1345[[#This Row],[Transact Qty]])</f>
        <v/>
      </c>
      <c r="I15" s="10" t="str">
        <f>IF(Table1345[[#This Row],[Product ID]]="","",SUMIFS(Stockin!E:E,Stockin!A:A,Table1345[[#This Row],[Product ID]]))</f>
        <v/>
      </c>
      <c r="J15" s="10" t="str">
        <f>IF(Table1345[[#This Row],[Product ID]]="","",SUMIFS(StockOut!F:F,StockOut!B:B,Table1345[[#This Row],[Product ID]]))</f>
        <v/>
      </c>
      <c r="K15" s="10" t="str">
        <f>IF(A14="","",IF(Table1345[[#This Row],[StockonHand]]&lt;5, "Re-Order","Available"))</f>
        <v/>
      </c>
      <c r="L15" s="10" t="str">
        <f>IF(Table1345[[#This Row],[Product ID]]="","",PRODUCT(Table1345[[#This Row],[Beginning Stocks]]-Table1345[[#This Row],[Transact Qty]]))</f>
        <v/>
      </c>
    </row>
    <row r="16" spans="1:12" ht="30" customHeight="1" x14ac:dyDescent="0.3">
      <c r="A16" s="4" t="str">
        <f t="shared" si="0"/>
        <v/>
      </c>
      <c r="B16" s="4" t="str">
        <f>IF(Table1345[[#This Row],[Product ID]]="","",VLOOKUP(Table1345[[#This Row],[Product ID]],data,2,FALSE))</f>
        <v/>
      </c>
      <c r="C16" s="4" t="str">
        <f>IF(Table1345[[#This Row],[Product ID]]="","",VLOOKUP(Table1345[[#This Row],[Product ID]],data,3,FALSE))</f>
        <v/>
      </c>
      <c r="D16" s="7" t="str">
        <f>IF(Table1345[[#This Row],[Product ID]]="","",VLOOKUP(Table1345[[#This Row],[Product ID]],data,4,FALSE))</f>
        <v/>
      </c>
      <c r="E16" s="7" t="str">
        <f>IF(Table1345[[#This Row],[Product ID]]="","",VLOOKUP(Table1345[[#This Row],[Product ID]],data,5,FALSE))</f>
        <v/>
      </c>
      <c r="F16" s="7" t="str">
        <f>IF(Table1345[[#This Row],[Product ID]]="","",SUMIFS(Stockin!F:F,Stockin!A:A,Table1345[[#This Row],[Product ID]]))</f>
        <v/>
      </c>
      <c r="G16" s="7" t="str">
        <f>IF(Table1345[[#This Row],[Product ID]]="","",SUMIFS(StockOut!G:G,StockOut!B:B,Table1345[[#This Row],[Product ID]]))</f>
        <v/>
      </c>
      <c r="H16" s="7" t="str">
        <f>IF(Table1345[[#This Row],[Product ID]]="","",SUM(Table1345[[#This Row],[Unit ]]-Table1345[[#This Row],[Selling Price]])*Table1345[[#This Row],[Transact Qty]])</f>
        <v/>
      </c>
      <c r="I16" s="10" t="str">
        <f>IF(Table1345[[#This Row],[Product ID]]="","",SUMIFS(Stockin!E:E,Stockin!A:A,Table1345[[#This Row],[Product ID]]))</f>
        <v/>
      </c>
      <c r="J16" s="10" t="str">
        <f>IF(Table1345[[#This Row],[Product ID]]="","",SUMIFS(StockOut!F:F,StockOut!B:B,Table1345[[#This Row],[Product ID]]))</f>
        <v/>
      </c>
      <c r="K16" s="10" t="str">
        <f>IF(A15="","",IF(Table1345[[#This Row],[StockonHand]]&lt;5, "Re-Order","Available"))</f>
        <v/>
      </c>
      <c r="L16" s="10" t="str">
        <f>IF(Table1345[[#This Row],[Product ID]]="","",PRODUCT(Table1345[[#This Row],[Beginning Stocks]]-Table1345[[#This Row],[Transact Qty]]))</f>
        <v/>
      </c>
    </row>
    <row r="17" spans="1:12" ht="30" customHeight="1" x14ac:dyDescent="0.3">
      <c r="A17" s="4" t="str">
        <f t="shared" si="0"/>
        <v/>
      </c>
      <c r="B17" s="4" t="str">
        <f>IF(Table1345[[#This Row],[Product ID]]="","",VLOOKUP(Table1345[[#This Row],[Product ID]],data,2,FALSE))</f>
        <v/>
      </c>
      <c r="C17" s="4" t="str">
        <f>IF(Table1345[[#This Row],[Product ID]]="","",VLOOKUP(Table1345[[#This Row],[Product ID]],data,3,FALSE))</f>
        <v/>
      </c>
      <c r="D17" s="7" t="str">
        <f>IF(Table1345[[#This Row],[Product ID]]="","",VLOOKUP(Table1345[[#This Row],[Product ID]],data,4,FALSE))</f>
        <v/>
      </c>
      <c r="E17" s="7" t="str">
        <f>IF(Table1345[[#This Row],[Product ID]]="","",VLOOKUP(Table1345[[#This Row],[Product ID]],data,5,FALSE))</f>
        <v/>
      </c>
      <c r="F17" s="7" t="str">
        <f>IF(Table1345[[#This Row],[Product ID]]="","",SUMIFS(Stockin!F:F,Stockin!A:A,Table1345[[#This Row],[Product ID]]))</f>
        <v/>
      </c>
      <c r="G17" s="7" t="str">
        <f>IF(Table1345[[#This Row],[Product ID]]="","",SUMIFS(StockOut!G:G,StockOut!B:B,Table1345[[#This Row],[Product ID]]))</f>
        <v/>
      </c>
      <c r="H17" s="7" t="str">
        <f>IF(Table1345[[#This Row],[Product ID]]="","",SUM(Table1345[[#This Row],[Unit ]]-Table1345[[#This Row],[Selling Price]])*Table1345[[#This Row],[Transact Qty]])</f>
        <v/>
      </c>
      <c r="I17" s="10" t="str">
        <f>IF(Table1345[[#This Row],[Product ID]]="","",SUMIFS(Stockin!E:E,Stockin!A:A,Table1345[[#This Row],[Product ID]]))</f>
        <v/>
      </c>
      <c r="J17" s="10" t="str">
        <f>IF(Table1345[[#This Row],[Product ID]]="","",SUMIFS(StockOut!F:F,StockOut!B:B,Table1345[[#This Row],[Product ID]]))</f>
        <v/>
      </c>
      <c r="K17" s="10" t="str">
        <f>IF(A16="","",IF(Table1345[[#This Row],[StockonHand]]&lt;5, "Re-Order","Available"))</f>
        <v/>
      </c>
      <c r="L17" s="10" t="str">
        <f>IF(Table1345[[#This Row],[Product ID]]="","",PRODUCT(Table1345[[#This Row],[Beginning Stocks]]-Table1345[[#This Row],[Transact Qty]]))</f>
        <v/>
      </c>
    </row>
    <row r="18" spans="1:12" ht="30" customHeight="1" x14ac:dyDescent="0.3">
      <c r="A18" s="4" t="str">
        <f t="shared" si="0"/>
        <v/>
      </c>
      <c r="B18" s="4" t="str">
        <f>IF(Table1345[[#This Row],[Product ID]]="","",VLOOKUP(Table1345[[#This Row],[Product ID]],data,2,FALSE))</f>
        <v/>
      </c>
      <c r="C18" s="4" t="str">
        <f>IF(Table1345[[#This Row],[Product ID]]="","",VLOOKUP(Table1345[[#This Row],[Product ID]],data,3,FALSE))</f>
        <v/>
      </c>
      <c r="D18" s="7" t="str">
        <f>IF(Table1345[[#This Row],[Product ID]]="","",VLOOKUP(Table1345[[#This Row],[Product ID]],data,4,FALSE))</f>
        <v/>
      </c>
      <c r="E18" s="7" t="str">
        <f>IF(Table1345[[#This Row],[Product ID]]="","",VLOOKUP(Table1345[[#This Row],[Product ID]],data,5,FALSE))</f>
        <v/>
      </c>
      <c r="F18" s="7" t="str">
        <f>IF(Table1345[[#This Row],[Product ID]]="","",SUMIFS(Stockin!F:F,Stockin!A:A,Table1345[[#This Row],[Product ID]]))</f>
        <v/>
      </c>
      <c r="G18" s="7" t="str">
        <f>IF(Table1345[[#This Row],[Product ID]]="","",SUMIFS(StockOut!G:G,StockOut!B:B,Table1345[[#This Row],[Product ID]]))</f>
        <v/>
      </c>
      <c r="H18" s="7" t="str">
        <f>IF(Table1345[[#This Row],[Product ID]]="","",SUM(Table1345[[#This Row],[Unit ]]-Table1345[[#This Row],[Selling Price]])*Table1345[[#This Row],[Transact Qty]])</f>
        <v/>
      </c>
      <c r="I18" s="10" t="str">
        <f>IF(Table1345[[#This Row],[Product ID]]="","",SUMIFS(Stockin!E:E,Stockin!A:A,Table1345[[#This Row],[Product ID]]))</f>
        <v/>
      </c>
      <c r="J18" s="10" t="str">
        <f>IF(Table1345[[#This Row],[Product ID]]="","",SUMIFS(StockOut!F:F,StockOut!B:B,Table1345[[#This Row],[Product ID]]))</f>
        <v/>
      </c>
      <c r="K18" s="10" t="str">
        <f>IF(A17="","",IF(Table1345[[#This Row],[StockonHand]]&lt;5, "Re-Order","Available"))</f>
        <v/>
      </c>
      <c r="L18" s="10" t="str">
        <f>IF(Table1345[[#This Row],[Product ID]]="","",PRODUCT(Table1345[[#This Row],[Beginning Stocks]]-Table1345[[#This Row],[Transact Qty]]))</f>
        <v/>
      </c>
    </row>
    <row r="19" spans="1:12" ht="30" customHeight="1" x14ac:dyDescent="0.3">
      <c r="A19" s="4" t="str">
        <f t="shared" si="0"/>
        <v/>
      </c>
      <c r="B19" s="4" t="str">
        <f>IF(Table1345[[#This Row],[Product ID]]="","",VLOOKUP(Table1345[[#This Row],[Product ID]],data,2,FALSE))</f>
        <v/>
      </c>
      <c r="C19" s="4" t="str">
        <f>IF(Table1345[[#This Row],[Product ID]]="","",VLOOKUP(Table1345[[#This Row],[Product ID]],data,3,FALSE))</f>
        <v/>
      </c>
      <c r="D19" s="7" t="str">
        <f>IF(Table1345[[#This Row],[Product ID]]="","",VLOOKUP(Table1345[[#This Row],[Product ID]],data,4,FALSE))</f>
        <v/>
      </c>
      <c r="E19" s="7" t="str">
        <f>IF(Table1345[[#This Row],[Product ID]]="","",VLOOKUP(Table1345[[#This Row],[Product ID]],data,5,FALSE))</f>
        <v/>
      </c>
      <c r="F19" s="7" t="str">
        <f>IF(Table1345[[#This Row],[Product ID]]="","",SUMIFS(Stockin!F:F,Stockin!A:A,Table1345[[#This Row],[Product ID]]))</f>
        <v/>
      </c>
      <c r="G19" s="7" t="str">
        <f>IF(Table1345[[#This Row],[Product ID]]="","",SUMIFS(StockOut!G:G,StockOut!B:B,Table1345[[#This Row],[Product ID]]))</f>
        <v/>
      </c>
      <c r="H19" s="7" t="str">
        <f>IF(Table1345[[#This Row],[Product ID]]="","",SUM(Table1345[[#This Row],[Unit ]]-Table1345[[#This Row],[Selling Price]])*Table1345[[#This Row],[Transact Qty]])</f>
        <v/>
      </c>
      <c r="I19" s="10" t="str">
        <f>IF(Table1345[[#This Row],[Product ID]]="","",SUMIFS(Stockin!E:E,Stockin!A:A,Table1345[[#This Row],[Product ID]]))</f>
        <v/>
      </c>
      <c r="J19" s="10" t="str">
        <f>IF(Table1345[[#This Row],[Product ID]]="","",SUMIFS(StockOut!F:F,StockOut!B:B,Table1345[[#This Row],[Product ID]]))</f>
        <v/>
      </c>
      <c r="K19" s="10" t="str">
        <f>IF(A18="","",IF(Table1345[[#This Row],[StockonHand]]&lt;5, "Re-Order","Available"))</f>
        <v/>
      </c>
      <c r="L19" s="10" t="str">
        <f>IF(Table1345[[#This Row],[Product ID]]="","",PRODUCT(Table1345[[#This Row],[Beginning Stocks]]-Table1345[[#This Row],[Transact Qty]]))</f>
        <v/>
      </c>
    </row>
    <row r="20" spans="1:12" ht="30" customHeight="1" x14ac:dyDescent="0.3">
      <c r="A20" s="4" t="str">
        <f t="shared" si="0"/>
        <v/>
      </c>
      <c r="B20" s="4" t="str">
        <f>IF(Table1345[[#This Row],[Product ID]]="","",VLOOKUP(Table1345[[#This Row],[Product ID]],data,2,FALSE))</f>
        <v/>
      </c>
      <c r="C20" s="4" t="str">
        <f>IF(Table1345[[#This Row],[Product ID]]="","",VLOOKUP(Table1345[[#This Row],[Product ID]],data,3,FALSE))</f>
        <v/>
      </c>
      <c r="D20" s="7" t="str">
        <f>IF(Table1345[[#This Row],[Product ID]]="","",VLOOKUP(Table1345[[#This Row],[Product ID]],data,4,FALSE))</f>
        <v/>
      </c>
      <c r="E20" s="7" t="str">
        <f>IF(Table1345[[#This Row],[Product ID]]="","",VLOOKUP(Table1345[[#This Row],[Product ID]],data,5,FALSE))</f>
        <v/>
      </c>
      <c r="F20" s="7" t="str">
        <f>IF(Table1345[[#This Row],[Product ID]]="","",SUMIFS(Stockin!F:F,Stockin!A:A,Table1345[[#This Row],[Product ID]]))</f>
        <v/>
      </c>
      <c r="G20" s="7" t="str">
        <f>IF(Table1345[[#This Row],[Product ID]]="","",SUMIFS(StockOut!G:G,StockOut!B:B,Table1345[[#This Row],[Product ID]]))</f>
        <v/>
      </c>
      <c r="H20" s="7" t="str">
        <f>IF(Table1345[[#This Row],[Product ID]]="","",SUM(Table1345[[#This Row],[Unit ]]-Table1345[[#This Row],[Selling Price]])*Table1345[[#This Row],[Transact Qty]])</f>
        <v/>
      </c>
      <c r="I20" s="10" t="str">
        <f>IF(Table1345[[#This Row],[Product ID]]="","",SUMIFS(Stockin!E:E,Stockin!A:A,Table1345[[#This Row],[Product ID]]))</f>
        <v/>
      </c>
      <c r="J20" s="10" t="str">
        <f>IF(Table1345[[#This Row],[Product ID]]="","",SUMIFS(StockOut!F:F,StockOut!B:B,Table1345[[#This Row],[Product ID]]))</f>
        <v/>
      </c>
      <c r="K20" s="10" t="str">
        <f>IF(A19="","",IF(Table1345[[#This Row],[StockonHand]]&lt;5, "Re-Order","Available"))</f>
        <v/>
      </c>
      <c r="L20" s="10" t="str">
        <f>IF(Table1345[[#This Row],[Product ID]]="","",PRODUCT(Table1345[[#This Row],[Beginning Stocks]]-Table1345[[#This Row],[Transact Qty]]))</f>
        <v/>
      </c>
    </row>
    <row r="21" spans="1:12" ht="30" customHeight="1" x14ac:dyDescent="0.3">
      <c r="A21" s="4" t="str">
        <f t="shared" si="0"/>
        <v/>
      </c>
      <c r="B21" s="4" t="str">
        <f>IF(Table1345[[#This Row],[Product ID]]="","",VLOOKUP(Table1345[[#This Row],[Product ID]],data,2,FALSE))</f>
        <v/>
      </c>
      <c r="C21" s="4" t="str">
        <f>IF(Table1345[[#This Row],[Product ID]]="","",VLOOKUP(Table1345[[#This Row],[Product ID]],data,3,FALSE))</f>
        <v/>
      </c>
      <c r="D21" s="7" t="str">
        <f>IF(Table1345[[#This Row],[Product ID]]="","",VLOOKUP(Table1345[[#This Row],[Product ID]],data,4,FALSE))</f>
        <v/>
      </c>
      <c r="E21" s="7" t="str">
        <f>IF(Table1345[[#This Row],[Product ID]]="","",VLOOKUP(Table1345[[#This Row],[Product ID]],data,5,FALSE))</f>
        <v/>
      </c>
      <c r="F21" s="7" t="str">
        <f>IF(Table1345[[#This Row],[Product ID]]="","",SUMIFS(Stockin!F:F,Stockin!A:A,Table1345[[#This Row],[Product ID]]))</f>
        <v/>
      </c>
      <c r="G21" s="7" t="str">
        <f>IF(Table1345[[#This Row],[Product ID]]="","",SUMIFS(StockOut!G:G,StockOut!B:B,Table1345[[#This Row],[Product ID]]))</f>
        <v/>
      </c>
      <c r="H21" s="7" t="str">
        <f>IF(Table1345[[#This Row],[Product ID]]="","",SUM(Table1345[[#This Row],[Unit ]]-Table1345[[#This Row],[Selling Price]])*Table1345[[#This Row],[Transact Qty]])</f>
        <v/>
      </c>
      <c r="I21" s="10" t="str">
        <f>IF(Table1345[[#This Row],[Product ID]]="","",SUMIFS(Stockin!E:E,Stockin!A:A,Table1345[[#This Row],[Product ID]]))</f>
        <v/>
      </c>
      <c r="J21" s="10" t="str">
        <f>IF(Table1345[[#This Row],[Product ID]]="","",SUMIFS(StockOut!F:F,StockOut!B:B,Table1345[[#This Row],[Product ID]]))</f>
        <v/>
      </c>
      <c r="K21" s="10" t="str">
        <f>IF(A20="","",IF(Table1345[[#This Row],[StockonHand]]&lt;5, "Re-Order","Available"))</f>
        <v/>
      </c>
      <c r="L21" s="10" t="str">
        <f>IF(Table1345[[#This Row],[Product ID]]="","",PRODUCT(Table1345[[#This Row],[Beginning Stocks]]-Table1345[[#This Row],[Transact Qty]]))</f>
        <v/>
      </c>
    </row>
    <row r="22" spans="1:12" ht="30" customHeight="1" x14ac:dyDescent="0.3">
      <c r="A22" s="4" t="str">
        <f t="shared" si="0"/>
        <v/>
      </c>
      <c r="B22" s="4" t="str">
        <f>IF(Table1345[[#This Row],[Product ID]]="","",VLOOKUP(Table1345[[#This Row],[Product ID]],data,2,FALSE))</f>
        <v/>
      </c>
      <c r="C22" s="4" t="str">
        <f>IF(Table1345[[#This Row],[Product ID]]="","",VLOOKUP(Table1345[[#This Row],[Product ID]],data,3,FALSE))</f>
        <v/>
      </c>
      <c r="D22" s="7" t="str">
        <f>IF(Table1345[[#This Row],[Product ID]]="","",VLOOKUP(Table1345[[#This Row],[Product ID]],data,4,FALSE))</f>
        <v/>
      </c>
      <c r="E22" s="7" t="str">
        <f>IF(Table1345[[#This Row],[Product ID]]="","",VLOOKUP(Table1345[[#This Row],[Product ID]],data,5,FALSE))</f>
        <v/>
      </c>
      <c r="F22" s="7" t="str">
        <f>IF(Table1345[[#This Row],[Product ID]]="","",SUMIFS(Stockin!F:F,Stockin!A:A,Table1345[[#This Row],[Product ID]]))</f>
        <v/>
      </c>
      <c r="G22" s="7" t="str">
        <f>IF(Table1345[[#This Row],[Product ID]]="","",SUMIFS(StockOut!G:G,StockOut!B:B,Table1345[[#This Row],[Product ID]]))</f>
        <v/>
      </c>
      <c r="H22" s="7" t="str">
        <f>IF(Table1345[[#This Row],[Product ID]]="","",SUM(Table1345[[#This Row],[Unit ]]-Table1345[[#This Row],[Selling Price]])*Table1345[[#This Row],[Transact Qty]])</f>
        <v/>
      </c>
      <c r="I22" s="10" t="str">
        <f>IF(Table1345[[#This Row],[Product ID]]="","",SUMIFS(Stockin!E:E,Stockin!A:A,Table1345[[#This Row],[Product ID]]))</f>
        <v/>
      </c>
      <c r="J22" s="10" t="str">
        <f>IF(Table1345[[#This Row],[Product ID]]="","",SUMIFS(StockOut!F:F,StockOut!B:B,Table1345[[#This Row],[Product ID]]))</f>
        <v/>
      </c>
      <c r="K22" s="10" t="str">
        <f>IF(A21="","",IF(Table1345[[#This Row],[StockonHand]]&lt;5, "Re-Order","Available"))</f>
        <v/>
      </c>
      <c r="L22" s="10" t="str">
        <f>IF(Table1345[[#This Row],[Product ID]]="","",PRODUCT(Table1345[[#This Row],[Beginning Stocks]]-Table1345[[#This Row],[Transact Qty]]))</f>
        <v/>
      </c>
    </row>
    <row r="23" spans="1:12" ht="30" customHeight="1" x14ac:dyDescent="0.3">
      <c r="A23" s="4" t="str">
        <f t="shared" si="0"/>
        <v/>
      </c>
      <c r="B23" s="4" t="str">
        <f>IF(Table1345[[#This Row],[Product ID]]="","",VLOOKUP(Table1345[[#This Row],[Product ID]],data,2,FALSE))</f>
        <v/>
      </c>
      <c r="C23" s="4" t="str">
        <f>IF(Table1345[[#This Row],[Product ID]]="","",VLOOKUP(Table1345[[#This Row],[Product ID]],data,3,FALSE))</f>
        <v/>
      </c>
      <c r="D23" s="7" t="str">
        <f>IF(Table1345[[#This Row],[Product ID]]="","",VLOOKUP(Table1345[[#This Row],[Product ID]],data,4,FALSE))</f>
        <v/>
      </c>
      <c r="E23" s="7" t="str">
        <f>IF(Table1345[[#This Row],[Product ID]]="","",VLOOKUP(Table1345[[#This Row],[Product ID]],data,5,FALSE))</f>
        <v/>
      </c>
      <c r="F23" s="7" t="str">
        <f>IF(Table1345[[#This Row],[Product ID]]="","",SUMIFS(Stockin!F:F,Stockin!A:A,Table1345[[#This Row],[Product ID]]))</f>
        <v/>
      </c>
      <c r="G23" s="7" t="str">
        <f>IF(Table1345[[#This Row],[Product ID]]="","",SUMIFS(StockOut!G:G,StockOut!B:B,Table1345[[#This Row],[Product ID]]))</f>
        <v/>
      </c>
      <c r="H23" s="7" t="str">
        <f>IF(Table1345[[#This Row],[Product ID]]="","",SUM(Table1345[[#This Row],[Unit ]]-Table1345[[#This Row],[Selling Price]])*Table1345[[#This Row],[Transact Qty]])</f>
        <v/>
      </c>
      <c r="I23" s="10" t="str">
        <f>IF(Table1345[[#This Row],[Product ID]]="","",SUMIFS(Stockin!E:E,Stockin!A:A,Table1345[[#This Row],[Product ID]]))</f>
        <v/>
      </c>
      <c r="J23" s="10" t="str">
        <f>IF(Table1345[[#This Row],[Product ID]]="","",SUMIFS(StockOut!F:F,StockOut!B:B,Table1345[[#This Row],[Product ID]]))</f>
        <v/>
      </c>
      <c r="K23" s="10" t="str">
        <f>IF(A22="","",IF(Table1345[[#This Row],[StockonHand]]&lt;5, "Re-Order","Available"))</f>
        <v/>
      </c>
      <c r="L23" s="10" t="str">
        <f>IF(Table1345[[#This Row],[Product ID]]="","",PRODUCT(Table1345[[#This Row],[Beginning Stocks]]-Table1345[[#This Row],[Transact Qty]]))</f>
        <v/>
      </c>
    </row>
    <row r="24" spans="1:12" ht="30" customHeight="1" x14ac:dyDescent="0.3">
      <c r="A24" s="4" t="str">
        <f t="shared" si="0"/>
        <v/>
      </c>
      <c r="B24" s="4" t="str">
        <f>IF(Table1345[[#This Row],[Product ID]]="","",VLOOKUP(Table1345[[#This Row],[Product ID]],data,2,FALSE))</f>
        <v/>
      </c>
      <c r="C24" s="4" t="str">
        <f>IF(Table1345[[#This Row],[Product ID]]="","",VLOOKUP(Table1345[[#This Row],[Product ID]],data,3,FALSE))</f>
        <v/>
      </c>
      <c r="D24" s="7" t="str">
        <f>IF(Table1345[[#This Row],[Product ID]]="","",VLOOKUP(Table1345[[#This Row],[Product ID]],data,4,FALSE))</f>
        <v/>
      </c>
      <c r="E24" s="7" t="str">
        <f>IF(Table1345[[#This Row],[Product ID]]="","",VLOOKUP(Table1345[[#This Row],[Product ID]],data,5,FALSE))</f>
        <v/>
      </c>
      <c r="F24" s="7" t="str">
        <f>IF(Table1345[[#This Row],[Product ID]]="","",SUMIFS(Stockin!F:F,Stockin!A:A,Table1345[[#This Row],[Product ID]]))</f>
        <v/>
      </c>
      <c r="G24" s="7" t="str">
        <f>IF(Table1345[[#This Row],[Product ID]]="","",SUMIFS(StockOut!G:G,StockOut!B:B,Table1345[[#This Row],[Product ID]]))</f>
        <v/>
      </c>
      <c r="H24" s="7" t="str">
        <f>IF(Table1345[[#This Row],[Product ID]]="","",SUM(Table1345[[#This Row],[Unit ]]-Table1345[[#This Row],[Selling Price]])*Table1345[[#This Row],[Transact Qty]])</f>
        <v/>
      </c>
      <c r="I24" s="10" t="str">
        <f>IF(Table1345[[#This Row],[Product ID]]="","",SUMIFS(Stockin!E:E,Stockin!A:A,Table1345[[#This Row],[Product ID]]))</f>
        <v/>
      </c>
      <c r="J24" s="10" t="str">
        <f>IF(Table1345[[#This Row],[Product ID]]="","",SUMIFS(StockOut!F:F,StockOut!B:B,Table1345[[#This Row],[Product ID]]))</f>
        <v/>
      </c>
      <c r="K24" s="10" t="str">
        <f>IF(A23="","",IF(Table1345[[#This Row],[StockonHand]]&lt;5, "Re-Order","Available"))</f>
        <v/>
      </c>
      <c r="L24" s="10" t="str">
        <f>IF(Table1345[[#This Row],[Product ID]]="","",PRODUCT(Table1345[[#This Row],[Beginning Stocks]]-Table1345[[#This Row],[Transact Qty]]))</f>
        <v/>
      </c>
    </row>
    <row r="25" spans="1:12" ht="30" customHeight="1" x14ac:dyDescent="0.3">
      <c r="A25" s="4" t="str">
        <f t="shared" si="0"/>
        <v/>
      </c>
      <c r="B25" s="4" t="str">
        <f>IF(Table1345[[#This Row],[Product ID]]="","",VLOOKUP(Table1345[[#This Row],[Product ID]],data,2,FALSE))</f>
        <v/>
      </c>
      <c r="C25" s="4" t="str">
        <f>IF(Table1345[[#This Row],[Product ID]]="","",VLOOKUP(Table1345[[#This Row],[Product ID]],data,3,FALSE))</f>
        <v/>
      </c>
      <c r="D25" s="7" t="str">
        <f>IF(Table1345[[#This Row],[Product ID]]="","",VLOOKUP(Table1345[[#This Row],[Product ID]],data,4,FALSE))</f>
        <v/>
      </c>
      <c r="E25" s="7" t="str">
        <f>IF(Table1345[[#This Row],[Product ID]]="","",VLOOKUP(Table1345[[#This Row],[Product ID]],data,5,FALSE))</f>
        <v/>
      </c>
      <c r="F25" s="7" t="str">
        <f>IF(Table1345[[#This Row],[Product ID]]="","",SUMIFS(Stockin!F:F,Stockin!A:A,Table1345[[#This Row],[Product ID]]))</f>
        <v/>
      </c>
      <c r="G25" s="7" t="str">
        <f>IF(Table1345[[#This Row],[Product ID]]="","",SUMIFS(StockOut!G:G,StockOut!B:B,Table1345[[#This Row],[Product ID]]))</f>
        <v/>
      </c>
      <c r="H25" s="7" t="str">
        <f>IF(Table1345[[#This Row],[Product ID]]="","",SUM(Table1345[[#This Row],[Unit ]]-Table1345[[#This Row],[Selling Price]])*Table1345[[#This Row],[Transact Qty]])</f>
        <v/>
      </c>
      <c r="I25" s="10" t="str">
        <f>IF(Table1345[[#This Row],[Product ID]]="","",SUMIFS(Stockin!E:E,Stockin!A:A,Table1345[[#This Row],[Product ID]]))</f>
        <v/>
      </c>
      <c r="J25" s="10" t="str">
        <f>IF(Table1345[[#This Row],[Product ID]]="","",SUMIFS(StockOut!F:F,StockOut!B:B,Table1345[[#This Row],[Product ID]]))</f>
        <v/>
      </c>
      <c r="K25" s="10" t="str">
        <f>IF(A24="","",IF(Table1345[[#This Row],[StockonHand]]&lt;5, "Re-Order","Available"))</f>
        <v/>
      </c>
      <c r="L25" s="10" t="str">
        <f>IF(Table1345[[#This Row],[Product ID]]="","",PRODUCT(Table1345[[#This Row],[Beginning Stocks]]-Table1345[[#This Row],[Transact Qty]]))</f>
        <v/>
      </c>
    </row>
    <row r="26" spans="1:12" ht="30" customHeight="1" x14ac:dyDescent="0.3">
      <c r="A26" s="4" t="str">
        <f t="shared" si="0"/>
        <v/>
      </c>
      <c r="B26" s="4" t="str">
        <f>IF(Table1345[[#This Row],[Product ID]]="","",VLOOKUP(Table1345[[#This Row],[Product ID]],data,2,FALSE))</f>
        <v/>
      </c>
      <c r="C26" s="4" t="str">
        <f>IF(Table1345[[#This Row],[Product ID]]="","",VLOOKUP(Table1345[[#This Row],[Product ID]],data,3,FALSE))</f>
        <v/>
      </c>
      <c r="D26" s="7" t="str">
        <f>IF(Table1345[[#This Row],[Product ID]]="","",VLOOKUP(Table1345[[#This Row],[Product ID]],data,4,FALSE))</f>
        <v/>
      </c>
      <c r="E26" s="7" t="str">
        <f>IF(Table1345[[#This Row],[Product ID]]="","",VLOOKUP(Table1345[[#This Row],[Product ID]],data,5,FALSE))</f>
        <v/>
      </c>
      <c r="F26" s="7" t="str">
        <f>IF(Table1345[[#This Row],[Product ID]]="","",SUMIFS(Stockin!F:F,Stockin!A:A,Table1345[[#This Row],[Product ID]]))</f>
        <v/>
      </c>
      <c r="G26" s="7" t="str">
        <f>IF(Table1345[[#This Row],[Product ID]]="","",SUMIFS(StockOut!G:G,StockOut!B:B,Table1345[[#This Row],[Product ID]]))</f>
        <v/>
      </c>
      <c r="H26" s="7" t="str">
        <f>IF(Table1345[[#This Row],[Product ID]]="","",SUM(Table1345[[#This Row],[Unit ]]-Table1345[[#This Row],[Selling Price]])*Table1345[[#This Row],[Transact Qty]])</f>
        <v/>
      </c>
      <c r="I26" s="10" t="str">
        <f>IF(Table1345[[#This Row],[Product ID]]="","",SUMIFS(Stockin!E:E,Stockin!A:A,Table1345[[#This Row],[Product ID]]))</f>
        <v/>
      </c>
      <c r="J26" s="10" t="str">
        <f>IF(Table1345[[#This Row],[Product ID]]="","",SUMIFS(StockOut!F:F,StockOut!B:B,Table1345[[#This Row],[Product ID]]))</f>
        <v/>
      </c>
      <c r="K26" s="10" t="str">
        <f>IF(A25="","",IF(Table1345[[#This Row],[StockonHand]]&lt;5, "Re-Order","Available"))</f>
        <v/>
      </c>
      <c r="L26" s="10" t="str">
        <f>IF(Table1345[[#This Row],[Product ID]]="","",PRODUCT(Table1345[[#This Row],[Beginning Stocks]]-Table1345[[#This Row],[Transact Qty]]))</f>
        <v/>
      </c>
    </row>
    <row r="27" spans="1:12" ht="30" customHeight="1" x14ac:dyDescent="0.3">
      <c r="A27" s="4" t="str">
        <f t="shared" si="0"/>
        <v/>
      </c>
      <c r="B27" s="4" t="str">
        <f>IF(Table1345[[#This Row],[Product ID]]="","",VLOOKUP(Table1345[[#This Row],[Product ID]],data,2,FALSE))</f>
        <v/>
      </c>
      <c r="C27" s="4" t="str">
        <f>IF(Table1345[[#This Row],[Product ID]]="","",VLOOKUP(Table1345[[#This Row],[Product ID]],data,3,FALSE))</f>
        <v/>
      </c>
      <c r="D27" s="7" t="str">
        <f>IF(Table1345[[#This Row],[Product ID]]="","",VLOOKUP(Table1345[[#This Row],[Product ID]],data,4,FALSE))</f>
        <v/>
      </c>
      <c r="E27" s="7" t="str">
        <f>IF(Table1345[[#This Row],[Product ID]]="","",VLOOKUP(Table1345[[#This Row],[Product ID]],data,5,FALSE))</f>
        <v/>
      </c>
      <c r="F27" s="7" t="str">
        <f>IF(Table1345[[#This Row],[Product ID]]="","",SUMIFS(Stockin!F:F,Stockin!A:A,Table1345[[#This Row],[Product ID]]))</f>
        <v/>
      </c>
      <c r="G27" s="7" t="str">
        <f>IF(Table1345[[#This Row],[Product ID]]="","",SUMIFS(StockOut!G:G,StockOut!B:B,Table1345[[#This Row],[Product ID]]))</f>
        <v/>
      </c>
      <c r="H27" s="7" t="str">
        <f>IF(Table1345[[#This Row],[Product ID]]="","",SUM(Table1345[[#This Row],[Unit ]]-Table1345[[#This Row],[Selling Price]])*Table1345[[#This Row],[Transact Qty]])</f>
        <v/>
      </c>
      <c r="I27" s="10" t="str">
        <f>IF(Table1345[[#This Row],[Product ID]]="","",SUMIFS(Stockin!E:E,Stockin!A:A,Table1345[[#This Row],[Product ID]]))</f>
        <v/>
      </c>
      <c r="J27" s="10" t="str">
        <f>IF(Table1345[[#This Row],[Product ID]]="","",SUMIFS(StockOut!F:F,StockOut!B:B,Table1345[[#This Row],[Product ID]]))</f>
        <v/>
      </c>
      <c r="K27" s="10" t="str">
        <f>IF(A26="","",IF(Table1345[[#This Row],[StockonHand]]&lt;5, "Re-Order","Available"))</f>
        <v/>
      </c>
      <c r="L27" s="10" t="str">
        <f>IF(Table1345[[#This Row],[Product ID]]="","",PRODUCT(Table1345[[#This Row],[Beginning Stocks]]-Table1345[[#This Row],[Transact Qty]]))</f>
        <v/>
      </c>
    </row>
    <row r="28" spans="1:12" ht="30" customHeight="1" x14ac:dyDescent="0.3">
      <c r="A28" s="4" t="str">
        <f t="shared" si="0"/>
        <v/>
      </c>
      <c r="B28" s="4" t="str">
        <f>IF(Table1345[[#This Row],[Product ID]]="","",VLOOKUP(Table1345[[#This Row],[Product ID]],data,2,FALSE))</f>
        <v/>
      </c>
      <c r="C28" s="4" t="str">
        <f>IF(Table1345[[#This Row],[Product ID]]="","",VLOOKUP(Table1345[[#This Row],[Product ID]],data,3,FALSE))</f>
        <v/>
      </c>
      <c r="D28" s="7" t="str">
        <f>IF(Table1345[[#This Row],[Product ID]]="","",VLOOKUP(Table1345[[#This Row],[Product ID]],data,4,FALSE))</f>
        <v/>
      </c>
      <c r="E28" s="7" t="str">
        <f>IF(Table1345[[#This Row],[Product ID]]="","",VLOOKUP(Table1345[[#This Row],[Product ID]],data,5,FALSE))</f>
        <v/>
      </c>
      <c r="F28" s="7" t="str">
        <f>IF(Table1345[[#This Row],[Product ID]]="","",SUMIFS(Stockin!F:F,Stockin!A:A,Table1345[[#This Row],[Product ID]]))</f>
        <v/>
      </c>
      <c r="G28" s="7" t="str">
        <f>IF(Table1345[[#This Row],[Product ID]]="","",SUMIFS(StockOut!G:G,StockOut!B:B,Table1345[[#This Row],[Product ID]]))</f>
        <v/>
      </c>
      <c r="H28" s="7" t="str">
        <f>IF(Table1345[[#This Row],[Product ID]]="","",SUM(Table1345[[#This Row],[Unit ]]-Table1345[[#This Row],[Selling Price]])*Table1345[[#This Row],[Transact Qty]])</f>
        <v/>
      </c>
      <c r="I28" s="10" t="str">
        <f>IF(Table1345[[#This Row],[Product ID]]="","",SUMIFS(Stockin!E:E,Stockin!A:A,Table1345[[#This Row],[Product ID]]))</f>
        <v/>
      </c>
      <c r="J28" s="10" t="str">
        <f>IF(Table1345[[#This Row],[Product ID]]="","",SUMIFS(StockOut!F:F,StockOut!B:B,Table1345[[#This Row],[Product ID]]))</f>
        <v/>
      </c>
      <c r="K28" s="10" t="str">
        <f>IF(A27="","",IF(Table1345[[#This Row],[StockonHand]]&lt;5, "Re-Order","Available"))</f>
        <v/>
      </c>
      <c r="L28" s="10" t="str">
        <f>IF(Table1345[[#This Row],[Product ID]]="","",PRODUCT(Table1345[[#This Row],[Beginning Stocks]]-Table1345[[#This Row],[Transact Qty]]))</f>
        <v/>
      </c>
    </row>
    <row r="29" spans="1:12" ht="30" customHeight="1" x14ac:dyDescent="0.3">
      <c r="A29" s="4" t="str">
        <f t="shared" si="0"/>
        <v/>
      </c>
      <c r="B29" s="4" t="str">
        <f>IF(Table1345[[#This Row],[Product ID]]="","",VLOOKUP(Table1345[[#This Row],[Product ID]],data,2,FALSE))</f>
        <v/>
      </c>
      <c r="C29" s="4" t="str">
        <f>IF(Table1345[[#This Row],[Product ID]]="","",VLOOKUP(Table1345[[#This Row],[Product ID]],data,3,FALSE))</f>
        <v/>
      </c>
      <c r="D29" s="7" t="str">
        <f>IF(Table1345[[#This Row],[Product ID]]="","",VLOOKUP(Table1345[[#This Row],[Product ID]],data,4,FALSE))</f>
        <v/>
      </c>
      <c r="E29" s="7" t="str">
        <f>IF(Table1345[[#This Row],[Product ID]]="","",VLOOKUP(Table1345[[#This Row],[Product ID]],data,5,FALSE))</f>
        <v/>
      </c>
      <c r="F29" s="7" t="str">
        <f>IF(Table1345[[#This Row],[Product ID]]="","",SUMIFS(Stockin!F:F,Stockin!A:A,Table1345[[#This Row],[Product ID]]))</f>
        <v/>
      </c>
      <c r="G29" s="7" t="str">
        <f>IF(Table1345[[#This Row],[Product ID]]="","",SUMIFS(StockOut!G:G,StockOut!B:B,Table1345[[#This Row],[Product ID]]))</f>
        <v/>
      </c>
      <c r="H29" s="7" t="str">
        <f>IF(Table1345[[#This Row],[Product ID]]="","",SUM(Table1345[[#This Row],[Unit ]]-Table1345[[#This Row],[Selling Price]])*Table1345[[#This Row],[Transact Qty]])</f>
        <v/>
      </c>
      <c r="I29" s="10" t="str">
        <f>IF(Table1345[[#This Row],[Product ID]]="","",SUMIFS(Stockin!E:E,Stockin!A:A,Table1345[[#This Row],[Product ID]]))</f>
        <v/>
      </c>
      <c r="J29" s="10" t="str">
        <f>IF(Table1345[[#This Row],[Product ID]]="","",SUMIFS(StockOut!F:F,StockOut!B:B,Table1345[[#This Row],[Product ID]]))</f>
        <v/>
      </c>
      <c r="K29" s="10" t="str">
        <f>IF(A28="","",IF(Table1345[[#This Row],[StockonHand]]&lt;5, "Re-Order","Available"))</f>
        <v/>
      </c>
      <c r="L29" s="10" t="str">
        <f>IF(Table1345[[#This Row],[Product ID]]="","",PRODUCT(Table1345[[#This Row],[Beginning Stocks]]-Table1345[[#This Row],[Transact Qty]]))</f>
        <v/>
      </c>
    </row>
    <row r="30" spans="1:12" ht="30" customHeight="1" x14ac:dyDescent="0.3">
      <c r="A30" s="4" t="str">
        <f t="shared" si="0"/>
        <v/>
      </c>
      <c r="B30" s="4" t="str">
        <f>IF(Table1345[[#This Row],[Product ID]]="","",VLOOKUP(Table1345[[#This Row],[Product ID]],data,2,FALSE))</f>
        <v/>
      </c>
      <c r="C30" s="4" t="str">
        <f>IF(Table1345[[#This Row],[Product ID]]="","",VLOOKUP(Table1345[[#This Row],[Product ID]],data,3,FALSE))</f>
        <v/>
      </c>
      <c r="D30" s="7" t="str">
        <f>IF(Table1345[[#This Row],[Product ID]]="","",VLOOKUP(Table1345[[#This Row],[Product ID]],data,4,FALSE))</f>
        <v/>
      </c>
      <c r="E30" s="7" t="str">
        <f>IF(Table1345[[#This Row],[Product ID]]="","",VLOOKUP(Table1345[[#This Row],[Product ID]],data,5,FALSE))</f>
        <v/>
      </c>
      <c r="F30" s="7" t="str">
        <f>IF(Table1345[[#This Row],[Product ID]]="","",SUMIFS(Stockin!F:F,Stockin!A:A,Table1345[[#This Row],[Product ID]]))</f>
        <v/>
      </c>
      <c r="G30" s="7" t="str">
        <f>IF(Table1345[[#This Row],[Product ID]]="","",SUMIFS(StockOut!G:G,StockOut!B:B,Table1345[[#This Row],[Product ID]]))</f>
        <v/>
      </c>
      <c r="H30" s="7" t="str">
        <f>IF(Table1345[[#This Row],[Product ID]]="","",SUM(Table1345[[#This Row],[Unit ]]-Table1345[[#This Row],[Selling Price]])*Table1345[[#This Row],[Transact Qty]])</f>
        <v/>
      </c>
      <c r="I30" s="10" t="str">
        <f>IF(Table1345[[#This Row],[Product ID]]="","",SUMIFS(Stockin!E:E,Stockin!A:A,Table1345[[#This Row],[Product ID]]))</f>
        <v/>
      </c>
      <c r="J30" s="10" t="str">
        <f>IF(Table1345[[#This Row],[Product ID]]="","",SUMIFS(StockOut!F:F,StockOut!B:B,Table1345[[#This Row],[Product ID]]))</f>
        <v/>
      </c>
      <c r="K30" s="10" t="str">
        <f>IF(A29="","",IF(Table1345[[#This Row],[StockonHand]]&lt;5, "Re-Order","Available"))</f>
        <v/>
      </c>
      <c r="L30" s="10" t="str">
        <f>IF(Table1345[[#This Row],[Product ID]]="","",PRODUCT(Table1345[[#This Row],[Beginning Stocks]]-Table1345[[#This Row],[Transact Qty]]))</f>
        <v/>
      </c>
    </row>
    <row r="31" spans="1:12" ht="30" customHeight="1" x14ac:dyDescent="0.3">
      <c r="A31" s="4" t="str">
        <f t="shared" si="0"/>
        <v/>
      </c>
      <c r="B31" s="4" t="str">
        <f>IF(Table1345[[#This Row],[Product ID]]="","",VLOOKUP(Table1345[[#This Row],[Product ID]],data,2,FALSE))</f>
        <v/>
      </c>
      <c r="C31" s="4" t="str">
        <f>IF(Table1345[[#This Row],[Product ID]]="","",VLOOKUP(Table1345[[#This Row],[Product ID]],data,3,FALSE))</f>
        <v/>
      </c>
      <c r="D31" s="7" t="str">
        <f>IF(Table1345[[#This Row],[Product ID]]="","",VLOOKUP(Table1345[[#This Row],[Product ID]],data,4,FALSE))</f>
        <v/>
      </c>
      <c r="E31" s="7" t="str">
        <f>IF(Table1345[[#This Row],[Product ID]]="","",VLOOKUP(Table1345[[#This Row],[Product ID]],data,5,FALSE))</f>
        <v/>
      </c>
      <c r="F31" s="7" t="str">
        <f>IF(Table1345[[#This Row],[Product ID]]="","",SUMIFS(Stockin!F:F,Stockin!A:A,Table1345[[#This Row],[Product ID]]))</f>
        <v/>
      </c>
      <c r="G31" s="7" t="str">
        <f>IF(Table1345[[#This Row],[Product ID]]="","",SUMIFS(StockOut!G:G,StockOut!B:B,Table1345[[#This Row],[Product ID]]))</f>
        <v/>
      </c>
      <c r="H31" s="7" t="str">
        <f>IF(Table1345[[#This Row],[Product ID]]="","",SUM(Table1345[[#This Row],[Unit ]]-Table1345[[#This Row],[Selling Price]])*Table1345[[#This Row],[Transact Qty]])</f>
        <v/>
      </c>
      <c r="I31" s="10" t="str">
        <f>IF(Table1345[[#This Row],[Product ID]]="","",SUMIFS(Stockin!E:E,Stockin!A:A,Table1345[[#This Row],[Product ID]]))</f>
        <v/>
      </c>
      <c r="J31" s="10" t="str">
        <f>IF(Table1345[[#This Row],[Product ID]]="","",SUMIFS(StockOut!F:F,StockOut!B:B,Table1345[[#This Row],[Product ID]]))</f>
        <v/>
      </c>
      <c r="K31" s="10" t="str">
        <f>IF(A30="","",IF(Table1345[[#This Row],[StockonHand]]&lt;5, "Re-Order","Available"))</f>
        <v/>
      </c>
      <c r="L31" s="10" t="str">
        <f>IF(Table1345[[#This Row],[Product ID]]="","",PRODUCT(Table1345[[#This Row],[Beginning Stocks]]-Table1345[[#This Row],[Transact Qty]]))</f>
        <v/>
      </c>
    </row>
    <row r="32" spans="1:12" ht="30" customHeight="1" x14ac:dyDescent="0.3">
      <c r="A32" s="4" t="str">
        <f t="shared" si="0"/>
        <v/>
      </c>
      <c r="B32" s="4" t="str">
        <f>IF(Table1345[[#This Row],[Product ID]]="","",VLOOKUP(Table1345[[#This Row],[Product ID]],data,2,FALSE))</f>
        <v/>
      </c>
      <c r="C32" s="4" t="str">
        <f>IF(Table1345[[#This Row],[Product ID]]="","",VLOOKUP(Table1345[[#This Row],[Product ID]],data,3,FALSE))</f>
        <v/>
      </c>
      <c r="D32" s="7" t="str">
        <f>IF(Table1345[[#This Row],[Product ID]]="","",VLOOKUP(Table1345[[#This Row],[Product ID]],data,4,FALSE))</f>
        <v/>
      </c>
      <c r="E32" s="7" t="str">
        <f>IF(Table1345[[#This Row],[Product ID]]="","",VLOOKUP(Table1345[[#This Row],[Product ID]],data,5,FALSE))</f>
        <v/>
      </c>
      <c r="F32" s="7" t="str">
        <f>IF(Table1345[[#This Row],[Product ID]]="","",SUMIFS(Stockin!F:F,Stockin!A:A,Table1345[[#This Row],[Product ID]]))</f>
        <v/>
      </c>
      <c r="G32" s="7" t="str">
        <f>IF(Table1345[[#This Row],[Product ID]]="","",SUMIFS(StockOut!G:G,StockOut!B:B,Table1345[[#This Row],[Product ID]]))</f>
        <v/>
      </c>
      <c r="H32" s="7" t="str">
        <f>IF(Table1345[[#This Row],[Product ID]]="","",SUM(Table1345[[#This Row],[Unit ]]-Table1345[[#This Row],[Selling Price]])*Table1345[[#This Row],[Transact Qty]])</f>
        <v/>
      </c>
      <c r="I32" s="10" t="str">
        <f>IF(Table1345[[#This Row],[Product ID]]="","",SUMIFS(Stockin!E:E,Stockin!A:A,Table1345[[#This Row],[Product ID]]))</f>
        <v/>
      </c>
      <c r="J32" s="10" t="str">
        <f>IF(Table1345[[#This Row],[Product ID]]="","",SUMIFS(StockOut!F:F,StockOut!B:B,Table1345[[#This Row],[Product ID]]))</f>
        <v/>
      </c>
      <c r="K32" s="10" t="str">
        <f>IF(A31="","",IF(Table1345[[#This Row],[StockonHand]]&lt;5, "Re-Order","Available"))</f>
        <v/>
      </c>
      <c r="L32" s="10" t="str">
        <f>IF(Table1345[[#This Row],[Product ID]]="","",PRODUCT(Table1345[[#This Row],[Beginning Stocks]]-Table1345[[#This Row],[Transact Qty]]))</f>
        <v/>
      </c>
    </row>
    <row r="33" spans="1:12" ht="30" customHeight="1" x14ac:dyDescent="0.3">
      <c r="A33" s="4" t="str">
        <f t="shared" si="0"/>
        <v/>
      </c>
      <c r="B33" s="4" t="str">
        <f>IF(Table1345[[#This Row],[Product ID]]="","",VLOOKUP(Table1345[[#This Row],[Product ID]],data,2,FALSE))</f>
        <v/>
      </c>
      <c r="C33" s="4" t="str">
        <f>IF(Table1345[[#This Row],[Product ID]]="","",VLOOKUP(Table1345[[#This Row],[Product ID]],data,3,FALSE))</f>
        <v/>
      </c>
      <c r="D33" s="7" t="str">
        <f>IF(Table1345[[#This Row],[Product ID]]="","",VLOOKUP(Table1345[[#This Row],[Product ID]],data,4,FALSE))</f>
        <v/>
      </c>
      <c r="E33" s="7" t="str">
        <f>IF(Table1345[[#This Row],[Product ID]]="","",VLOOKUP(Table1345[[#This Row],[Product ID]],data,5,FALSE))</f>
        <v/>
      </c>
      <c r="F33" s="7" t="str">
        <f>IF(Table1345[[#This Row],[Product ID]]="","",SUMIFS(Stockin!F:F,Stockin!A:A,Table1345[[#This Row],[Product ID]]))</f>
        <v/>
      </c>
      <c r="G33" s="7" t="str">
        <f>IF(Table1345[[#This Row],[Product ID]]="","",SUMIFS(StockOut!G:G,StockOut!B:B,Table1345[[#This Row],[Product ID]]))</f>
        <v/>
      </c>
      <c r="H33" s="7" t="str">
        <f>IF(Table1345[[#This Row],[Product ID]]="","",SUM(Table1345[[#This Row],[Unit ]]-Table1345[[#This Row],[Selling Price]])*Table1345[[#This Row],[Transact Qty]])</f>
        <v/>
      </c>
      <c r="I33" s="10" t="str">
        <f>IF(Table1345[[#This Row],[Product ID]]="","",SUMIFS(Stockin!E:E,Stockin!A:A,Table1345[[#This Row],[Product ID]]))</f>
        <v/>
      </c>
      <c r="J33" s="10" t="str">
        <f>IF(Table1345[[#This Row],[Product ID]]="","",SUMIFS(StockOut!F:F,StockOut!B:B,Table1345[[#This Row],[Product ID]]))</f>
        <v/>
      </c>
      <c r="K33" s="10" t="str">
        <f>IF(A32="","",IF(Table1345[[#This Row],[StockonHand]]&lt;5, "Re-Order","Available"))</f>
        <v/>
      </c>
      <c r="L33" s="10" t="str">
        <f>IF(Table1345[[#This Row],[Product ID]]="","",PRODUCT(Table1345[[#This Row],[Beginning Stocks]]-Table1345[[#This Row],[Transact Qty]]))</f>
        <v/>
      </c>
    </row>
    <row r="34" spans="1:12" ht="30" customHeight="1" x14ac:dyDescent="0.3">
      <c r="A34" s="4" t="str">
        <f t="shared" ref="A34:A65" si="1">IF(item="","",item)</f>
        <v/>
      </c>
      <c r="B34" s="4" t="str">
        <f>IF(Table1345[[#This Row],[Product ID]]="","",VLOOKUP(Table1345[[#This Row],[Product ID]],data,2,FALSE))</f>
        <v/>
      </c>
      <c r="C34" s="4" t="str">
        <f>IF(Table1345[[#This Row],[Product ID]]="","",VLOOKUP(Table1345[[#This Row],[Product ID]],data,3,FALSE))</f>
        <v/>
      </c>
      <c r="D34" s="7" t="str">
        <f>IF(Table1345[[#This Row],[Product ID]]="","",VLOOKUP(Table1345[[#This Row],[Product ID]],data,4,FALSE))</f>
        <v/>
      </c>
      <c r="E34" s="7" t="str">
        <f>IF(Table1345[[#This Row],[Product ID]]="","",VLOOKUP(Table1345[[#This Row],[Product ID]],data,5,FALSE))</f>
        <v/>
      </c>
      <c r="F34" s="7" t="str">
        <f>IF(Table1345[[#This Row],[Product ID]]="","",SUMIFS(Stockin!F:F,Stockin!A:A,Table1345[[#This Row],[Product ID]]))</f>
        <v/>
      </c>
      <c r="G34" s="7" t="str">
        <f>IF(Table1345[[#This Row],[Product ID]]="","",SUMIFS(StockOut!G:G,StockOut!B:B,Table1345[[#This Row],[Product ID]]))</f>
        <v/>
      </c>
      <c r="H34" s="7" t="str">
        <f>IF(Table1345[[#This Row],[Product ID]]="","",SUM(Table1345[[#This Row],[Unit ]]-Table1345[[#This Row],[Selling Price]])*Table1345[[#This Row],[Transact Qty]])</f>
        <v/>
      </c>
      <c r="I34" s="10" t="str">
        <f>IF(Table1345[[#This Row],[Product ID]]="","",SUMIFS(Stockin!E:E,Stockin!A:A,Table1345[[#This Row],[Product ID]]))</f>
        <v/>
      </c>
      <c r="J34" s="10" t="str">
        <f>IF(Table1345[[#This Row],[Product ID]]="","",SUMIFS(StockOut!F:F,StockOut!B:B,Table1345[[#This Row],[Product ID]]))</f>
        <v/>
      </c>
      <c r="K34" s="10" t="str">
        <f>IF(A33="","",IF(Table1345[[#This Row],[StockonHand]]&lt;5, "Re-Order","Available"))</f>
        <v/>
      </c>
      <c r="L34" s="10" t="str">
        <f>IF(Table1345[[#This Row],[Product ID]]="","",PRODUCT(Table1345[[#This Row],[Beginning Stocks]]-Table1345[[#This Row],[Transact Qty]]))</f>
        <v/>
      </c>
    </row>
    <row r="35" spans="1:12" ht="30" customHeight="1" x14ac:dyDescent="0.3">
      <c r="A35" s="4" t="str">
        <f t="shared" si="1"/>
        <v/>
      </c>
      <c r="B35" s="4" t="str">
        <f>IF(Table1345[[#This Row],[Product ID]]="","",VLOOKUP(Table1345[[#This Row],[Product ID]],data,2,FALSE))</f>
        <v/>
      </c>
      <c r="C35" s="4" t="str">
        <f>IF(Table1345[[#This Row],[Product ID]]="","",VLOOKUP(Table1345[[#This Row],[Product ID]],data,3,FALSE))</f>
        <v/>
      </c>
      <c r="D35" s="7" t="str">
        <f>IF(Table1345[[#This Row],[Product ID]]="","",VLOOKUP(Table1345[[#This Row],[Product ID]],data,4,FALSE))</f>
        <v/>
      </c>
      <c r="E35" s="7" t="str">
        <f>IF(Table1345[[#This Row],[Product ID]]="","",VLOOKUP(Table1345[[#This Row],[Product ID]],data,5,FALSE))</f>
        <v/>
      </c>
      <c r="F35" s="7" t="str">
        <f>IF(Table1345[[#This Row],[Product ID]]="","",SUMIFS(Stockin!F:F,Stockin!A:A,Table1345[[#This Row],[Product ID]]))</f>
        <v/>
      </c>
      <c r="G35" s="7" t="str">
        <f>IF(Table1345[[#This Row],[Product ID]]="","",SUMIFS(StockOut!G:G,StockOut!B:B,Table1345[[#This Row],[Product ID]]))</f>
        <v/>
      </c>
      <c r="H35" s="7" t="str">
        <f>IF(Table1345[[#This Row],[Product ID]]="","",SUM(Table1345[[#This Row],[Unit ]]-Table1345[[#This Row],[Selling Price]])*Table1345[[#This Row],[Transact Qty]])</f>
        <v/>
      </c>
      <c r="I35" s="10" t="str">
        <f>IF(Table1345[[#This Row],[Product ID]]="","",SUMIFS(Stockin!E:E,Stockin!A:A,Table1345[[#This Row],[Product ID]]))</f>
        <v/>
      </c>
      <c r="J35" s="10" t="str">
        <f>IF(Table1345[[#This Row],[Product ID]]="","",SUMIFS(StockOut!F:F,StockOut!B:B,Table1345[[#This Row],[Product ID]]))</f>
        <v/>
      </c>
      <c r="K35" s="10" t="str">
        <f>IF(A34="","",IF(Table1345[[#This Row],[StockonHand]]&lt;5, "Re-Order","Available"))</f>
        <v/>
      </c>
      <c r="L35" s="10" t="str">
        <f>IF(Table1345[[#This Row],[Product ID]]="","",PRODUCT(Table1345[[#This Row],[Beginning Stocks]]-Table1345[[#This Row],[Transact Qty]]))</f>
        <v/>
      </c>
    </row>
    <row r="36" spans="1:12" ht="30" customHeight="1" x14ac:dyDescent="0.3">
      <c r="A36" s="4" t="str">
        <f t="shared" si="1"/>
        <v/>
      </c>
      <c r="B36" s="4" t="str">
        <f>IF(Table1345[[#This Row],[Product ID]]="","",VLOOKUP(Table1345[[#This Row],[Product ID]],data,2,FALSE))</f>
        <v/>
      </c>
      <c r="C36" s="4" t="str">
        <f>IF(Table1345[[#This Row],[Product ID]]="","",VLOOKUP(Table1345[[#This Row],[Product ID]],data,3,FALSE))</f>
        <v/>
      </c>
      <c r="D36" s="7" t="str">
        <f>IF(Table1345[[#This Row],[Product ID]]="","",VLOOKUP(Table1345[[#This Row],[Product ID]],data,4,FALSE))</f>
        <v/>
      </c>
      <c r="E36" s="7" t="str">
        <f>IF(Table1345[[#This Row],[Product ID]]="","",VLOOKUP(Table1345[[#This Row],[Product ID]],data,5,FALSE))</f>
        <v/>
      </c>
      <c r="F36" s="7" t="str">
        <f>IF(Table1345[[#This Row],[Product ID]]="","",SUMIFS(Stockin!F:F,Stockin!A:A,Table1345[[#This Row],[Product ID]]))</f>
        <v/>
      </c>
      <c r="G36" s="7" t="str">
        <f>IF(Table1345[[#This Row],[Product ID]]="","",SUMIFS(StockOut!G:G,StockOut!B:B,Table1345[[#This Row],[Product ID]]))</f>
        <v/>
      </c>
      <c r="H36" s="7" t="str">
        <f>IF(Table1345[[#This Row],[Product ID]]="","",SUM(Table1345[[#This Row],[Unit ]]-Table1345[[#This Row],[Selling Price]])*Table1345[[#This Row],[Transact Qty]])</f>
        <v/>
      </c>
      <c r="I36" s="10" t="str">
        <f>IF(Table1345[[#This Row],[Product ID]]="","",SUMIFS(Stockin!E:E,Stockin!A:A,Table1345[[#This Row],[Product ID]]))</f>
        <v/>
      </c>
      <c r="J36" s="10" t="str">
        <f>IF(Table1345[[#This Row],[Product ID]]="","",SUMIFS(StockOut!F:F,StockOut!B:B,Table1345[[#This Row],[Product ID]]))</f>
        <v/>
      </c>
      <c r="K36" s="10" t="str">
        <f>IF(A35="","",IF(Table1345[[#This Row],[StockonHand]]&lt;5, "Re-Order","Available"))</f>
        <v/>
      </c>
      <c r="L36" s="10" t="str">
        <f>IF(Table1345[[#This Row],[Product ID]]="","",PRODUCT(Table1345[[#This Row],[Beginning Stocks]]-Table1345[[#This Row],[Transact Qty]]))</f>
        <v/>
      </c>
    </row>
    <row r="37" spans="1:12" ht="30" customHeight="1" x14ac:dyDescent="0.3">
      <c r="A37" s="4" t="str">
        <f t="shared" si="1"/>
        <v/>
      </c>
      <c r="B37" s="4" t="str">
        <f>IF(Table1345[[#This Row],[Product ID]]="","",VLOOKUP(Table1345[[#This Row],[Product ID]],data,2,FALSE))</f>
        <v/>
      </c>
      <c r="C37" s="4" t="str">
        <f>IF(Table1345[[#This Row],[Product ID]]="","",VLOOKUP(Table1345[[#This Row],[Product ID]],data,3,FALSE))</f>
        <v/>
      </c>
      <c r="D37" s="7" t="str">
        <f>IF(Table1345[[#This Row],[Product ID]]="","",VLOOKUP(Table1345[[#This Row],[Product ID]],data,4,FALSE))</f>
        <v/>
      </c>
      <c r="E37" s="7" t="str">
        <f>IF(Table1345[[#This Row],[Product ID]]="","",VLOOKUP(Table1345[[#This Row],[Product ID]],data,5,FALSE))</f>
        <v/>
      </c>
      <c r="F37" s="7" t="str">
        <f>IF(Table1345[[#This Row],[Product ID]]="","",SUMIFS(Stockin!F:F,Stockin!A:A,Table1345[[#This Row],[Product ID]]))</f>
        <v/>
      </c>
      <c r="G37" s="7" t="str">
        <f>IF(Table1345[[#This Row],[Product ID]]="","",SUMIFS(StockOut!G:G,StockOut!B:B,Table1345[[#This Row],[Product ID]]))</f>
        <v/>
      </c>
      <c r="H37" s="7" t="str">
        <f>IF(Table1345[[#This Row],[Product ID]]="","",SUM(Table1345[[#This Row],[Unit ]]-Table1345[[#This Row],[Selling Price]])*Table1345[[#This Row],[Transact Qty]])</f>
        <v/>
      </c>
      <c r="I37" s="10" t="str">
        <f>IF(Table1345[[#This Row],[Product ID]]="","",SUMIFS(Stockin!E:E,Stockin!A:A,Table1345[[#This Row],[Product ID]]))</f>
        <v/>
      </c>
      <c r="J37" s="10" t="str">
        <f>IF(Table1345[[#This Row],[Product ID]]="","",SUMIFS(StockOut!F:F,StockOut!B:B,Table1345[[#This Row],[Product ID]]))</f>
        <v/>
      </c>
      <c r="K37" s="10" t="str">
        <f>IF(A36="","",IF(Table1345[[#This Row],[StockonHand]]&lt;5, "Re-Order","Available"))</f>
        <v/>
      </c>
      <c r="L37" s="10" t="str">
        <f>IF(Table1345[[#This Row],[Product ID]]="","",PRODUCT(Table1345[[#This Row],[Beginning Stocks]]-Table1345[[#This Row],[Transact Qty]]))</f>
        <v/>
      </c>
    </row>
    <row r="38" spans="1:12" ht="30" customHeight="1" x14ac:dyDescent="0.3">
      <c r="A38" s="4" t="str">
        <f t="shared" si="1"/>
        <v/>
      </c>
      <c r="B38" s="4" t="str">
        <f>IF(Table1345[[#This Row],[Product ID]]="","",VLOOKUP(Table1345[[#This Row],[Product ID]],data,2,FALSE))</f>
        <v/>
      </c>
      <c r="C38" s="4" t="str">
        <f>IF(Table1345[[#This Row],[Product ID]]="","",VLOOKUP(Table1345[[#This Row],[Product ID]],data,3,FALSE))</f>
        <v/>
      </c>
      <c r="D38" s="7" t="str">
        <f>IF(Table1345[[#This Row],[Product ID]]="","",VLOOKUP(Table1345[[#This Row],[Product ID]],data,4,FALSE))</f>
        <v/>
      </c>
      <c r="E38" s="7" t="str">
        <f>IF(Table1345[[#This Row],[Product ID]]="","",VLOOKUP(Table1345[[#This Row],[Product ID]],data,5,FALSE))</f>
        <v/>
      </c>
      <c r="F38" s="7" t="str">
        <f>IF(Table1345[[#This Row],[Product ID]]="","",SUMIFS(Stockin!F:F,Stockin!A:A,Table1345[[#This Row],[Product ID]]))</f>
        <v/>
      </c>
      <c r="G38" s="7" t="str">
        <f>IF(Table1345[[#This Row],[Product ID]]="","",SUMIFS(StockOut!G:G,StockOut!B:B,Table1345[[#This Row],[Product ID]]))</f>
        <v/>
      </c>
      <c r="H38" s="7" t="str">
        <f>IF(Table1345[[#This Row],[Product ID]]="","",SUM(Table1345[[#This Row],[Unit ]]-Table1345[[#This Row],[Selling Price]])*Table1345[[#This Row],[Transact Qty]])</f>
        <v/>
      </c>
      <c r="I38" s="10" t="str">
        <f>IF(Table1345[[#This Row],[Product ID]]="","",SUMIFS(Stockin!E:E,Stockin!A:A,Table1345[[#This Row],[Product ID]]))</f>
        <v/>
      </c>
      <c r="J38" s="10" t="str">
        <f>IF(Table1345[[#This Row],[Product ID]]="","",SUMIFS(StockOut!F:F,StockOut!B:B,Table1345[[#This Row],[Product ID]]))</f>
        <v/>
      </c>
      <c r="K38" s="10" t="str">
        <f>IF(A37="","",IF(Table1345[[#This Row],[StockonHand]]&lt;5, "Re-Order","Available"))</f>
        <v/>
      </c>
      <c r="L38" s="10" t="str">
        <f>IF(Table1345[[#This Row],[Product ID]]="","",PRODUCT(Table1345[[#This Row],[Beginning Stocks]]-Table1345[[#This Row],[Transact Qty]]))</f>
        <v/>
      </c>
    </row>
    <row r="39" spans="1:12" ht="30" customHeight="1" x14ac:dyDescent="0.3">
      <c r="A39" s="4" t="str">
        <f t="shared" si="1"/>
        <v/>
      </c>
      <c r="B39" s="4" t="str">
        <f>IF(Table1345[[#This Row],[Product ID]]="","",VLOOKUP(Table1345[[#This Row],[Product ID]],data,2,FALSE))</f>
        <v/>
      </c>
      <c r="C39" s="4" t="str">
        <f>IF(Table1345[[#This Row],[Product ID]]="","",VLOOKUP(Table1345[[#This Row],[Product ID]],data,3,FALSE))</f>
        <v/>
      </c>
      <c r="D39" s="7" t="str">
        <f>IF(Table1345[[#This Row],[Product ID]]="","",VLOOKUP(Table1345[[#This Row],[Product ID]],data,4,FALSE))</f>
        <v/>
      </c>
      <c r="E39" s="7" t="str">
        <f>IF(Table1345[[#This Row],[Product ID]]="","",VLOOKUP(Table1345[[#This Row],[Product ID]],data,5,FALSE))</f>
        <v/>
      </c>
      <c r="F39" s="7" t="str">
        <f>IF(Table1345[[#This Row],[Product ID]]="","",SUMIFS(Stockin!F:F,Stockin!A:A,Table1345[[#This Row],[Product ID]]))</f>
        <v/>
      </c>
      <c r="G39" s="7" t="str">
        <f>IF(Table1345[[#This Row],[Product ID]]="","",SUMIFS(StockOut!G:G,StockOut!B:B,Table1345[[#This Row],[Product ID]]))</f>
        <v/>
      </c>
      <c r="H39" s="7" t="str">
        <f>IF(Table1345[[#This Row],[Product ID]]="","",SUM(Table1345[[#This Row],[Unit ]]-Table1345[[#This Row],[Selling Price]])*Table1345[[#This Row],[Transact Qty]])</f>
        <v/>
      </c>
      <c r="I39" s="10" t="str">
        <f>IF(Table1345[[#This Row],[Product ID]]="","",SUMIFS(Stockin!E:E,Stockin!A:A,Table1345[[#This Row],[Product ID]]))</f>
        <v/>
      </c>
      <c r="J39" s="10" t="str">
        <f>IF(Table1345[[#This Row],[Product ID]]="","",SUMIFS(StockOut!F:F,StockOut!B:B,Table1345[[#This Row],[Product ID]]))</f>
        <v/>
      </c>
      <c r="K39" s="10" t="str">
        <f>IF(A38="","",IF(Table1345[[#This Row],[StockonHand]]&lt;5, "Re-Order","Available"))</f>
        <v/>
      </c>
      <c r="L39" s="10" t="str">
        <f>IF(Table1345[[#This Row],[Product ID]]="","",PRODUCT(Table1345[[#This Row],[Beginning Stocks]]-Table1345[[#This Row],[Transact Qty]]))</f>
        <v/>
      </c>
    </row>
    <row r="40" spans="1:12" ht="30" customHeight="1" x14ac:dyDescent="0.3">
      <c r="A40" s="4" t="str">
        <f t="shared" si="1"/>
        <v/>
      </c>
      <c r="B40" s="4" t="str">
        <f>IF(Table1345[[#This Row],[Product ID]]="","",VLOOKUP(Table1345[[#This Row],[Product ID]],data,2,FALSE))</f>
        <v/>
      </c>
      <c r="C40" s="4" t="str">
        <f>IF(Table1345[[#This Row],[Product ID]]="","",VLOOKUP(Table1345[[#This Row],[Product ID]],data,3,FALSE))</f>
        <v/>
      </c>
      <c r="D40" s="7" t="str">
        <f>IF(Table1345[[#This Row],[Product ID]]="","",VLOOKUP(Table1345[[#This Row],[Product ID]],data,4,FALSE))</f>
        <v/>
      </c>
      <c r="E40" s="7" t="str">
        <f>IF(Table1345[[#This Row],[Product ID]]="","",VLOOKUP(Table1345[[#This Row],[Product ID]],data,5,FALSE))</f>
        <v/>
      </c>
      <c r="F40" s="7" t="str">
        <f>IF(Table1345[[#This Row],[Product ID]]="","",SUMIFS(Stockin!F:F,Stockin!A:A,Table1345[[#This Row],[Product ID]]))</f>
        <v/>
      </c>
      <c r="G40" s="7" t="str">
        <f>IF(Table1345[[#This Row],[Product ID]]="","",SUMIFS(StockOut!G:G,StockOut!B:B,Table1345[[#This Row],[Product ID]]))</f>
        <v/>
      </c>
      <c r="H40" s="7" t="str">
        <f>IF(Table1345[[#This Row],[Product ID]]="","",SUM(Table1345[[#This Row],[Unit ]]-Table1345[[#This Row],[Selling Price]])*Table1345[[#This Row],[Transact Qty]])</f>
        <v/>
      </c>
      <c r="I40" s="10" t="str">
        <f>IF(Table1345[[#This Row],[Product ID]]="","",SUMIFS(Stockin!E:E,Stockin!A:A,Table1345[[#This Row],[Product ID]]))</f>
        <v/>
      </c>
      <c r="J40" s="10" t="str">
        <f>IF(Table1345[[#This Row],[Product ID]]="","",SUMIFS(StockOut!F:F,StockOut!B:B,Table1345[[#This Row],[Product ID]]))</f>
        <v/>
      </c>
      <c r="K40" s="10" t="str">
        <f>IF(A39="","",IF(Table1345[[#This Row],[StockonHand]]&lt;5, "Re-Order","Available"))</f>
        <v/>
      </c>
      <c r="L40" s="10" t="str">
        <f>IF(Table1345[[#This Row],[Product ID]]="","",PRODUCT(Table1345[[#This Row],[Beginning Stocks]]-Table1345[[#This Row],[Transact Qty]]))</f>
        <v/>
      </c>
    </row>
    <row r="41" spans="1:12" ht="30" customHeight="1" x14ac:dyDescent="0.3">
      <c r="A41" s="4" t="str">
        <f t="shared" si="1"/>
        <v/>
      </c>
      <c r="B41" s="4" t="str">
        <f>IF(Table1345[[#This Row],[Product ID]]="","",VLOOKUP(Table1345[[#This Row],[Product ID]],data,2,FALSE))</f>
        <v/>
      </c>
      <c r="C41" s="4" t="str">
        <f>IF(Table1345[[#This Row],[Product ID]]="","",VLOOKUP(Table1345[[#This Row],[Product ID]],data,3,FALSE))</f>
        <v/>
      </c>
      <c r="D41" s="7" t="str">
        <f>IF(Table1345[[#This Row],[Product ID]]="","",VLOOKUP(Table1345[[#This Row],[Product ID]],data,4,FALSE))</f>
        <v/>
      </c>
      <c r="E41" s="7" t="str">
        <f>IF(Table1345[[#This Row],[Product ID]]="","",VLOOKUP(Table1345[[#This Row],[Product ID]],data,5,FALSE))</f>
        <v/>
      </c>
      <c r="F41" s="7" t="str">
        <f>IF(Table1345[[#This Row],[Product ID]]="","",SUMIFS(Stockin!F:F,Stockin!A:A,Table1345[[#This Row],[Product ID]]))</f>
        <v/>
      </c>
      <c r="G41" s="7" t="str">
        <f>IF(Table1345[[#This Row],[Product ID]]="","",SUMIFS(StockOut!G:G,StockOut!B:B,Table1345[[#This Row],[Product ID]]))</f>
        <v/>
      </c>
      <c r="H41" s="7" t="str">
        <f>IF(Table1345[[#This Row],[Product ID]]="","",SUM(Table1345[[#This Row],[Unit ]]-Table1345[[#This Row],[Selling Price]])*Table1345[[#This Row],[Transact Qty]])</f>
        <v/>
      </c>
      <c r="I41" s="10" t="str">
        <f>IF(Table1345[[#This Row],[Product ID]]="","",SUMIFS(Stockin!E:E,Stockin!A:A,Table1345[[#This Row],[Product ID]]))</f>
        <v/>
      </c>
      <c r="J41" s="10" t="str">
        <f>IF(Table1345[[#This Row],[Product ID]]="","",SUMIFS(StockOut!F:F,StockOut!B:B,Table1345[[#This Row],[Product ID]]))</f>
        <v/>
      </c>
      <c r="K41" s="10" t="str">
        <f>IF(A40="","",IF(Table1345[[#This Row],[StockonHand]]&lt;5, "Re-Order","Available"))</f>
        <v/>
      </c>
      <c r="L41" s="10" t="str">
        <f>IF(Table1345[[#This Row],[Product ID]]="","",PRODUCT(Table1345[[#This Row],[Beginning Stocks]]-Table1345[[#This Row],[Transact Qty]]))</f>
        <v/>
      </c>
    </row>
    <row r="42" spans="1:12" ht="30" customHeight="1" x14ac:dyDescent="0.3">
      <c r="A42" s="4" t="str">
        <f t="shared" si="1"/>
        <v/>
      </c>
      <c r="B42" s="4" t="str">
        <f>IF(Table1345[[#This Row],[Product ID]]="","",VLOOKUP(Table1345[[#This Row],[Product ID]],data,2,FALSE))</f>
        <v/>
      </c>
      <c r="C42" s="4" t="str">
        <f>IF(Table1345[[#This Row],[Product ID]]="","",VLOOKUP(Table1345[[#This Row],[Product ID]],data,3,FALSE))</f>
        <v/>
      </c>
      <c r="D42" s="7" t="str">
        <f>IF(Table1345[[#This Row],[Product ID]]="","",VLOOKUP(Table1345[[#This Row],[Product ID]],data,4,FALSE))</f>
        <v/>
      </c>
      <c r="E42" s="7" t="str">
        <f>IF(Table1345[[#This Row],[Product ID]]="","",VLOOKUP(Table1345[[#This Row],[Product ID]],data,5,FALSE))</f>
        <v/>
      </c>
      <c r="F42" s="7" t="str">
        <f>IF(Table1345[[#This Row],[Product ID]]="","",SUMIFS(Stockin!F:F,Stockin!A:A,Table1345[[#This Row],[Product ID]]))</f>
        <v/>
      </c>
      <c r="G42" s="7" t="str">
        <f>IF(Table1345[[#This Row],[Product ID]]="","",SUMIFS(StockOut!G:G,StockOut!B:B,Table1345[[#This Row],[Product ID]]))</f>
        <v/>
      </c>
      <c r="H42" s="7" t="str">
        <f>IF(Table1345[[#This Row],[Product ID]]="","",SUM(Table1345[[#This Row],[Unit ]]-Table1345[[#This Row],[Selling Price]])*Table1345[[#This Row],[Transact Qty]])</f>
        <v/>
      </c>
      <c r="I42" s="10" t="str">
        <f>IF(Table1345[[#This Row],[Product ID]]="","",SUMIFS(Stockin!E:E,Stockin!A:A,Table1345[[#This Row],[Product ID]]))</f>
        <v/>
      </c>
      <c r="J42" s="10" t="str">
        <f>IF(Table1345[[#This Row],[Product ID]]="","",SUMIFS(StockOut!F:F,StockOut!B:B,Table1345[[#This Row],[Product ID]]))</f>
        <v/>
      </c>
      <c r="K42" s="10" t="str">
        <f>IF(A41="","",IF(Table1345[[#This Row],[StockonHand]]&lt;5, "Re-Order","Available"))</f>
        <v/>
      </c>
      <c r="L42" s="10" t="str">
        <f>IF(Table1345[[#This Row],[Product ID]]="","",PRODUCT(Table1345[[#This Row],[Beginning Stocks]]-Table1345[[#This Row],[Transact Qty]]))</f>
        <v/>
      </c>
    </row>
    <row r="43" spans="1:12" ht="30" customHeight="1" x14ac:dyDescent="0.3">
      <c r="A43" s="4" t="str">
        <f t="shared" si="1"/>
        <v/>
      </c>
      <c r="B43" s="4" t="str">
        <f>IF(Table1345[[#This Row],[Product ID]]="","",VLOOKUP(Table1345[[#This Row],[Product ID]],data,2,FALSE))</f>
        <v/>
      </c>
      <c r="C43" s="4" t="str">
        <f>IF(Table1345[[#This Row],[Product ID]]="","",VLOOKUP(Table1345[[#This Row],[Product ID]],data,3,FALSE))</f>
        <v/>
      </c>
      <c r="D43" s="7" t="str">
        <f>IF(Table1345[[#This Row],[Product ID]]="","",VLOOKUP(Table1345[[#This Row],[Product ID]],data,4,FALSE))</f>
        <v/>
      </c>
      <c r="E43" s="7" t="str">
        <f>IF(Table1345[[#This Row],[Product ID]]="","",VLOOKUP(Table1345[[#This Row],[Product ID]],data,5,FALSE))</f>
        <v/>
      </c>
      <c r="F43" s="7" t="str">
        <f>IF(Table1345[[#This Row],[Product ID]]="","",SUMIFS(Stockin!F:F,Stockin!A:A,Table1345[[#This Row],[Product ID]]))</f>
        <v/>
      </c>
      <c r="G43" s="7" t="str">
        <f>IF(Table1345[[#This Row],[Product ID]]="","",SUMIFS(StockOut!G:G,StockOut!B:B,Table1345[[#This Row],[Product ID]]))</f>
        <v/>
      </c>
      <c r="H43" s="7" t="str">
        <f>IF(Table1345[[#This Row],[Product ID]]="","",SUM(Table1345[[#This Row],[Unit ]]-Table1345[[#This Row],[Selling Price]])*Table1345[[#This Row],[Transact Qty]])</f>
        <v/>
      </c>
      <c r="I43" s="10" t="str">
        <f>IF(Table1345[[#This Row],[Product ID]]="","",SUMIFS(Stockin!E:E,Stockin!A:A,Table1345[[#This Row],[Product ID]]))</f>
        <v/>
      </c>
      <c r="J43" s="10" t="str">
        <f>IF(Table1345[[#This Row],[Product ID]]="","",SUMIFS(StockOut!F:F,StockOut!B:B,Table1345[[#This Row],[Product ID]]))</f>
        <v/>
      </c>
      <c r="K43" s="10" t="str">
        <f>IF(A42="","",IF(Table1345[[#This Row],[StockonHand]]&lt;5, "Re-Order","Available"))</f>
        <v/>
      </c>
      <c r="L43" s="10" t="str">
        <f>IF(Table1345[[#This Row],[Product ID]]="","",PRODUCT(Table1345[[#This Row],[Beginning Stocks]]-Table1345[[#This Row],[Transact Qty]]))</f>
        <v/>
      </c>
    </row>
    <row r="44" spans="1:12" ht="30" customHeight="1" x14ac:dyDescent="0.3">
      <c r="A44" s="4" t="str">
        <f t="shared" si="1"/>
        <v/>
      </c>
      <c r="B44" s="4" t="str">
        <f>IF(Table1345[[#This Row],[Product ID]]="","",VLOOKUP(Table1345[[#This Row],[Product ID]],data,2,FALSE))</f>
        <v/>
      </c>
      <c r="C44" s="4" t="str">
        <f>IF(Table1345[[#This Row],[Product ID]]="","",VLOOKUP(Table1345[[#This Row],[Product ID]],data,3,FALSE))</f>
        <v/>
      </c>
      <c r="D44" s="7" t="str">
        <f>IF(Table1345[[#This Row],[Product ID]]="","",VLOOKUP(Table1345[[#This Row],[Product ID]],data,4,FALSE))</f>
        <v/>
      </c>
      <c r="E44" s="7" t="str">
        <f>IF(Table1345[[#This Row],[Product ID]]="","",VLOOKUP(Table1345[[#This Row],[Product ID]],data,5,FALSE))</f>
        <v/>
      </c>
      <c r="F44" s="7" t="str">
        <f>IF(Table1345[[#This Row],[Product ID]]="","",SUMIFS(Stockin!F:F,Stockin!A:A,Table1345[[#This Row],[Product ID]]))</f>
        <v/>
      </c>
      <c r="G44" s="7" t="str">
        <f>IF(Table1345[[#This Row],[Product ID]]="","",SUMIFS(StockOut!G:G,StockOut!B:B,Table1345[[#This Row],[Product ID]]))</f>
        <v/>
      </c>
      <c r="H44" s="7" t="str">
        <f>IF(Table1345[[#This Row],[Product ID]]="","",SUM(Table1345[[#This Row],[Unit ]]-Table1345[[#This Row],[Selling Price]])*Table1345[[#This Row],[Transact Qty]])</f>
        <v/>
      </c>
      <c r="I44" s="10" t="str">
        <f>IF(Table1345[[#This Row],[Product ID]]="","",SUMIFS(Stockin!E:E,Stockin!A:A,Table1345[[#This Row],[Product ID]]))</f>
        <v/>
      </c>
      <c r="J44" s="10" t="str">
        <f>IF(Table1345[[#This Row],[Product ID]]="","",SUMIFS(StockOut!F:F,StockOut!B:B,Table1345[[#This Row],[Product ID]]))</f>
        <v/>
      </c>
      <c r="K44" s="10" t="str">
        <f>IF(A43="","",IF(Table1345[[#This Row],[StockonHand]]&lt;5, "Re-Order","Available"))</f>
        <v/>
      </c>
      <c r="L44" s="10" t="str">
        <f>IF(Table1345[[#This Row],[Product ID]]="","",PRODUCT(Table1345[[#This Row],[Beginning Stocks]]-Table1345[[#This Row],[Transact Qty]]))</f>
        <v/>
      </c>
    </row>
    <row r="45" spans="1:12" ht="30" customHeight="1" x14ac:dyDescent="0.3">
      <c r="A45" s="4" t="str">
        <f t="shared" si="1"/>
        <v/>
      </c>
      <c r="B45" s="4" t="str">
        <f>IF(Table1345[[#This Row],[Product ID]]="","",VLOOKUP(Table1345[[#This Row],[Product ID]],data,2,FALSE))</f>
        <v/>
      </c>
      <c r="C45" s="4" t="str">
        <f>IF(Table1345[[#This Row],[Product ID]]="","",VLOOKUP(Table1345[[#This Row],[Product ID]],data,3,FALSE))</f>
        <v/>
      </c>
      <c r="D45" s="7" t="str">
        <f>IF(Table1345[[#This Row],[Product ID]]="","",VLOOKUP(Table1345[[#This Row],[Product ID]],data,4,FALSE))</f>
        <v/>
      </c>
      <c r="E45" s="7" t="str">
        <f>IF(Table1345[[#This Row],[Product ID]]="","",VLOOKUP(Table1345[[#This Row],[Product ID]],data,5,FALSE))</f>
        <v/>
      </c>
      <c r="F45" s="7" t="str">
        <f>IF(Table1345[[#This Row],[Product ID]]="","",SUMIFS(Stockin!F:F,Stockin!A:A,Table1345[[#This Row],[Product ID]]))</f>
        <v/>
      </c>
      <c r="G45" s="7" t="str">
        <f>IF(Table1345[[#This Row],[Product ID]]="","",SUMIFS(StockOut!G:G,StockOut!B:B,Table1345[[#This Row],[Product ID]]))</f>
        <v/>
      </c>
      <c r="H45" s="7" t="str">
        <f>IF(Table1345[[#This Row],[Product ID]]="","",SUM(Table1345[[#This Row],[Unit ]]-Table1345[[#This Row],[Selling Price]])*Table1345[[#This Row],[Transact Qty]])</f>
        <v/>
      </c>
      <c r="I45" s="10" t="str">
        <f>IF(Table1345[[#This Row],[Product ID]]="","",SUMIFS(Stockin!E:E,Stockin!A:A,Table1345[[#This Row],[Product ID]]))</f>
        <v/>
      </c>
      <c r="J45" s="10" t="str">
        <f>IF(Table1345[[#This Row],[Product ID]]="","",SUMIFS(StockOut!F:F,StockOut!B:B,Table1345[[#This Row],[Product ID]]))</f>
        <v/>
      </c>
      <c r="K45" s="10" t="str">
        <f>IF(A44="","",IF(Table1345[[#This Row],[StockonHand]]&lt;5, "Re-Order","Available"))</f>
        <v/>
      </c>
      <c r="L45" s="10" t="str">
        <f>IF(Table1345[[#This Row],[Product ID]]="","",PRODUCT(Table1345[[#This Row],[Beginning Stocks]]-Table1345[[#This Row],[Transact Qty]]))</f>
        <v/>
      </c>
    </row>
    <row r="46" spans="1:12" ht="30" customHeight="1" x14ac:dyDescent="0.3">
      <c r="A46" s="4" t="str">
        <f t="shared" si="1"/>
        <v/>
      </c>
      <c r="B46" s="4" t="str">
        <f>IF(Table1345[[#This Row],[Product ID]]="","",VLOOKUP(Table1345[[#This Row],[Product ID]],data,2,FALSE))</f>
        <v/>
      </c>
      <c r="C46" s="4" t="str">
        <f>IF(Table1345[[#This Row],[Product ID]]="","",VLOOKUP(Table1345[[#This Row],[Product ID]],data,3,FALSE))</f>
        <v/>
      </c>
      <c r="D46" s="7" t="str">
        <f>IF(Table1345[[#This Row],[Product ID]]="","",VLOOKUP(Table1345[[#This Row],[Product ID]],data,4,FALSE))</f>
        <v/>
      </c>
      <c r="E46" s="7" t="str">
        <f>IF(Table1345[[#This Row],[Product ID]]="","",VLOOKUP(Table1345[[#This Row],[Product ID]],data,5,FALSE))</f>
        <v/>
      </c>
      <c r="F46" s="7" t="str">
        <f>IF(Table1345[[#This Row],[Product ID]]="","",SUMIFS(Stockin!F:F,Stockin!A:A,Table1345[[#This Row],[Product ID]]))</f>
        <v/>
      </c>
      <c r="G46" s="7" t="str">
        <f>IF(Table1345[[#This Row],[Product ID]]="","",SUMIFS(StockOut!G:G,StockOut!B:B,Table1345[[#This Row],[Product ID]]))</f>
        <v/>
      </c>
      <c r="H46" s="7" t="str">
        <f>IF(Table1345[[#This Row],[Product ID]]="","",SUM(Table1345[[#This Row],[Unit ]]-Table1345[[#This Row],[Selling Price]])*Table1345[[#This Row],[Transact Qty]])</f>
        <v/>
      </c>
      <c r="I46" s="10" t="str">
        <f>IF(Table1345[[#This Row],[Product ID]]="","",SUMIFS(Stockin!E:E,Stockin!A:A,Table1345[[#This Row],[Product ID]]))</f>
        <v/>
      </c>
      <c r="J46" s="10" t="str">
        <f>IF(Table1345[[#This Row],[Product ID]]="","",SUMIFS(StockOut!F:F,StockOut!B:B,Table1345[[#This Row],[Product ID]]))</f>
        <v/>
      </c>
      <c r="K46" s="10" t="str">
        <f>IF(A45="","",IF(Table1345[[#This Row],[StockonHand]]&lt;5, "Re-Order","Available"))</f>
        <v/>
      </c>
      <c r="L46" s="10" t="str">
        <f>IF(Table1345[[#This Row],[Product ID]]="","",PRODUCT(Table1345[[#This Row],[Beginning Stocks]]-Table1345[[#This Row],[Transact Qty]]))</f>
        <v/>
      </c>
    </row>
    <row r="47" spans="1:12" ht="30" customHeight="1" x14ac:dyDescent="0.3">
      <c r="A47" s="4" t="str">
        <f t="shared" si="1"/>
        <v/>
      </c>
      <c r="B47" s="4" t="str">
        <f>IF(Table1345[[#This Row],[Product ID]]="","",VLOOKUP(Table1345[[#This Row],[Product ID]],data,2,FALSE))</f>
        <v/>
      </c>
      <c r="C47" s="4" t="str">
        <f>IF(Table1345[[#This Row],[Product ID]]="","",VLOOKUP(Table1345[[#This Row],[Product ID]],data,3,FALSE))</f>
        <v/>
      </c>
      <c r="D47" s="7" t="str">
        <f>IF(Table1345[[#This Row],[Product ID]]="","",VLOOKUP(Table1345[[#This Row],[Product ID]],data,4,FALSE))</f>
        <v/>
      </c>
      <c r="E47" s="7" t="str">
        <f>IF(Table1345[[#This Row],[Product ID]]="","",VLOOKUP(Table1345[[#This Row],[Product ID]],data,5,FALSE))</f>
        <v/>
      </c>
      <c r="F47" s="7" t="str">
        <f>IF(Table1345[[#This Row],[Product ID]]="","",SUMIFS(Stockin!F:F,Stockin!A:A,Table1345[[#This Row],[Product ID]]))</f>
        <v/>
      </c>
      <c r="G47" s="7" t="str">
        <f>IF(Table1345[[#This Row],[Product ID]]="","",SUMIFS(StockOut!G:G,StockOut!B:B,Table1345[[#This Row],[Product ID]]))</f>
        <v/>
      </c>
      <c r="H47" s="7" t="str">
        <f>IF(Table1345[[#This Row],[Product ID]]="","",SUM(Table1345[[#This Row],[Unit ]]-Table1345[[#This Row],[Selling Price]])*Table1345[[#This Row],[Transact Qty]])</f>
        <v/>
      </c>
      <c r="I47" s="10" t="str">
        <f>IF(Table1345[[#This Row],[Product ID]]="","",SUMIFS(Stockin!E:E,Stockin!A:A,Table1345[[#This Row],[Product ID]]))</f>
        <v/>
      </c>
      <c r="J47" s="10" t="str">
        <f>IF(Table1345[[#This Row],[Product ID]]="","",SUMIFS(StockOut!F:F,StockOut!B:B,Table1345[[#This Row],[Product ID]]))</f>
        <v/>
      </c>
      <c r="K47" s="10" t="str">
        <f>IF(A46="","",IF(Table1345[[#This Row],[StockonHand]]&lt;5, "Re-Order","Available"))</f>
        <v/>
      </c>
      <c r="L47" s="10" t="str">
        <f>IF(Table1345[[#This Row],[Product ID]]="","",PRODUCT(Table1345[[#This Row],[Beginning Stocks]]-Table1345[[#This Row],[Transact Qty]]))</f>
        <v/>
      </c>
    </row>
    <row r="48" spans="1:12" ht="30" customHeight="1" x14ac:dyDescent="0.3">
      <c r="A48" s="4" t="str">
        <f t="shared" si="1"/>
        <v/>
      </c>
      <c r="B48" s="4" t="str">
        <f>IF(Table1345[[#This Row],[Product ID]]="","",VLOOKUP(Table1345[[#This Row],[Product ID]],data,2,FALSE))</f>
        <v/>
      </c>
      <c r="C48" s="4" t="str">
        <f>IF(Table1345[[#This Row],[Product ID]]="","",VLOOKUP(Table1345[[#This Row],[Product ID]],data,3,FALSE))</f>
        <v/>
      </c>
      <c r="D48" s="7" t="str">
        <f>IF(Table1345[[#This Row],[Product ID]]="","",VLOOKUP(Table1345[[#This Row],[Product ID]],data,4,FALSE))</f>
        <v/>
      </c>
      <c r="E48" s="7" t="str">
        <f>IF(Table1345[[#This Row],[Product ID]]="","",VLOOKUP(Table1345[[#This Row],[Product ID]],data,5,FALSE))</f>
        <v/>
      </c>
      <c r="F48" s="7" t="str">
        <f>IF(Table1345[[#This Row],[Product ID]]="","",SUMIFS(Stockin!F:F,Stockin!A:A,Table1345[[#This Row],[Product ID]]))</f>
        <v/>
      </c>
      <c r="G48" s="7" t="str">
        <f>IF(Table1345[[#This Row],[Product ID]]="","",SUMIFS(StockOut!G:G,StockOut!B:B,Table1345[[#This Row],[Product ID]]))</f>
        <v/>
      </c>
      <c r="H48" s="7" t="str">
        <f>IF(Table1345[[#This Row],[Product ID]]="","",SUM(Table1345[[#This Row],[Unit ]]-Table1345[[#This Row],[Selling Price]])*Table1345[[#This Row],[Transact Qty]])</f>
        <v/>
      </c>
      <c r="I48" s="10" t="str">
        <f>IF(Table1345[[#This Row],[Product ID]]="","",SUMIFS(Stockin!E:E,Stockin!A:A,Table1345[[#This Row],[Product ID]]))</f>
        <v/>
      </c>
      <c r="J48" s="10" t="str">
        <f>IF(Table1345[[#This Row],[Product ID]]="","",SUMIFS(StockOut!F:F,StockOut!B:B,Table1345[[#This Row],[Product ID]]))</f>
        <v/>
      </c>
      <c r="K48" s="10" t="str">
        <f>IF(A47="","",IF(Table1345[[#This Row],[StockonHand]]&lt;5, "Re-Order","Available"))</f>
        <v/>
      </c>
      <c r="L48" s="10" t="str">
        <f>IF(Table1345[[#This Row],[Product ID]]="","",PRODUCT(Table1345[[#This Row],[Beginning Stocks]]-Table1345[[#This Row],[Transact Qty]]))</f>
        <v/>
      </c>
    </row>
    <row r="49" spans="1:12" ht="30" customHeight="1" x14ac:dyDescent="0.3">
      <c r="A49" s="4" t="str">
        <f t="shared" si="1"/>
        <v/>
      </c>
      <c r="B49" s="4" t="str">
        <f>IF(Table1345[[#This Row],[Product ID]]="","",VLOOKUP(Table1345[[#This Row],[Product ID]],data,2,FALSE))</f>
        <v/>
      </c>
      <c r="C49" s="4" t="str">
        <f>IF(Table1345[[#This Row],[Product ID]]="","",VLOOKUP(Table1345[[#This Row],[Product ID]],data,3,FALSE))</f>
        <v/>
      </c>
      <c r="D49" s="7" t="str">
        <f>IF(Table1345[[#This Row],[Product ID]]="","",VLOOKUP(Table1345[[#This Row],[Product ID]],data,4,FALSE))</f>
        <v/>
      </c>
      <c r="E49" s="7" t="str">
        <f>IF(Table1345[[#This Row],[Product ID]]="","",VLOOKUP(Table1345[[#This Row],[Product ID]],data,5,FALSE))</f>
        <v/>
      </c>
      <c r="F49" s="7" t="str">
        <f>IF(Table1345[[#This Row],[Product ID]]="","",SUMIFS(Stockin!F:F,Stockin!A:A,Table1345[[#This Row],[Product ID]]))</f>
        <v/>
      </c>
      <c r="G49" s="7" t="str">
        <f>IF(Table1345[[#This Row],[Product ID]]="","",SUMIFS(StockOut!G:G,StockOut!B:B,Table1345[[#This Row],[Product ID]]))</f>
        <v/>
      </c>
      <c r="H49" s="7" t="str">
        <f>IF(Table1345[[#This Row],[Product ID]]="","",SUM(Table1345[[#This Row],[Unit ]]-Table1345[[#This Row],[Selling Price]])*Table1345[[#This Row],[Transact Qty]])</f>
        <v/>
      </c>
      <c r="I49" s="10" t="str">
        <f>IF(Table1345[[#This Row],[Product ID]]="","",SUMIFS(Stockin!E:E,Stockin!A:A,Table1345[[#This Row],[Product ID]]))</f>
        <v/>
      </c>
      <c r="J49" s="10" t="str">
        <f>IF(Table1345[[#This Row],[Product ID]]="","",SUMIFS(StockOut!F:F,StockOut!B:B,Table1345[[#This Row],[Product ID]]))</f>
        <v/>
      </c>
      <c r="K49" s="10" t="str">
        <f>IF(A48="","",IF(Table1345[[#This Row],[StockonHand]]&lt;5, "Re-Order","Available"))</f>
        <v/>
      </c>
      <c r="L49" s="10" t="str">
        <f>IF(Table1345[[#This Row],[Product ID]]="","",PRODUCT(Table1345[[#This Row],[Beginning Stocks]]-Table1345[[#This Row],[Transact Qty]]))</f>
        <v/>
      </c>
    </row>
    <row r="50" spans="1:12" ht="30" customHeight="1" x14ac:dyDescent="0.3">
      <c r="A50" s="4" t="str">
        <f t="shared" si="1"/>
        <v/>
      </c>
      <c r="B50" s="4" t="str">
        <f>IF(Table1345[[#This Row],[Product ID]]="","",VLOOKUP(Table1345[[#This Row],[Product ID]],data,2,FALSE))</f>
        <v/>
      </c>
      <c r="C50" s="4" t="str">
        <f>IF(Table1345[[#This Row],[Product ID]]="","",VLOOKUP(Table1345[[#This Row],[Product ID]],data,3,FALSE))</f>
        <v/>
      </c>
      <c r="D50" s="7" t="str">
        <f>IF(Table1345[[#This Row],[Product ID]]="","",VLOOKUP(Table1345[[#This Row],[Product ID]],data,4,FALSE))</f>
        <v/>
      </c>
      <c r="E50" s="7" t="str">
        <f>IF(Table1345[[#This Row],[Product ID]]="","",VLOOKUP(Table1345[[#This Row],[Product ID]],data,5,FALSE))</f>
        <v/>
      </c>
      <c r="F50" s="7" t="str">
        <f>IF(Table1345[[#This Row],[Product ID]]="","",SUMIFS(Stockin!F:F,Stockin!A:A,Table1345[[#This Row],[Product ID]]))</f>
        <v/>
      </c>
      <c r="G50" s="7" t="str">
        <f>IF(Table1345[[#This Row],[Product ID]]="","",SUMIFS(StockOut!G:G,StockOut!B:B,Table1345[[#This Row],[Product ID]]))</f>
        <v/>
      </c>
      <c r="H50" s="7" t="str">
        <f>IF(Table1345[[#This Row],[Product ID]]="","",SUM(Table1345[[#This Row],[Unit ]]-Table1345[[#This Row],[Selling Price]])*Table1345[[#This Row],[Transact Qty]])</f>
        <v/>
      </c>
      <c r="I50" s="10" t="str">
        <f>IF(Table1345[[#This Row],[Product ID]]="","",SUMIFS(Stockin!E:E,Stockin!A:A,Table1345[[#This Row],[Product ID]]))</f>
        <v/>
      </c>
      <c r="J50" s="10" t="str">
        <f>IF(Table1345[[#This Row],[Product ID]]="","",SUMIFS(StockOut!F:F,StockOut!B:B,Table1345[[#This Row],[Product ID]]))</f>
        <v/>
      </c>
      <c r="K50" s="10" t="str">
        <f>IF(A49="","",IF(Table1345[[#This Row],[StockonHand]]&lt;5, "Re-Order","Available"))</f>
        <v/>
      </c>
      <c r="L50" s="10" t="str">
        <f>IF(Table1345[[#This Row],[Product ID]]="","",PRODUCT(Table1345[[#This Row],[Beginning Stocks]]-Table1345[[#This Row],[Transact Qty]]))</f>
        <v/>
      </c>
    </row>
    <row r="51" spans="1:12" ht="30" customHeight="1" x14ac:dyDescent="0.3">
      <c r="A51" s="4" t="str">
        <f t="shared" si="1"/>
        <v/>
      </c>
      <c r="B51" s="4" t="str">
        <f>IF(Table1345[[#This Row],[Product ID]]="","",VLOOKUP(Table1345[[#This Row],[Product ID]],data,2,FALSE))</f>
        <v/>
      </c>
      <c r="C51" s="4" t="str">
        <f>IF(Table1345[[#This Row],[Product ID]]="","",VLOOKUP(Table1345[[#This Row],[Product ID]],data,3,FALSE))</f>
        <v/>
      </c>
      <c r="D51" s="7" t="str">
        <f>IF(Table1345[[#This Row],[Product ID]]="","",VLOOKUP(Table1345[[#This Row],[Product ID]],data,4,FALSE))</f>
        <v/>
      </c>
      <c r="E51" s="7" t="str">
        <f>IF(Table1345[[#This Row],[Product ID]]="","",VLOOKUP(Table1345[[#This Row],[Product ID]],data,5,FALSE))</f>
        <v/>
      </c>
      <c r="F51" s="7" t="str">
        <f>IF(Table1345[[#This Row],[Product ID]]="","",SUMIFS(Stockin!F:F,Stockin!A:A,Table1345[[#This Row],[Product ID]]))</f>
        <v/>
      </c>
      <c r="G51" s="7" t="str">
        <f>IF(Table1345[[#This Row],[Product ID]]="","",SUMIFS(StockOut!G:G,StockOut!B:B,Table1345[[#This Row],[Product ID]]))</f>
        <v/>
      </c>
      <c r="H51" s="7" t="str">
        <f>IF(Table1345[[#This Row],[Product ID]]="","",SUM(Table1345[[#This Row],[Unit ]]-Table1345[[#This Row],[Selling Price]])*Table1345[[#This Row],[Transact Qty]])</f>
        <v/>
      </c>
      <c r="I51" s="10" t="str">
        <f>IF(Table1345[[#This Row],[Product ID]]="","",SUMIFS(Stockin!E:E,Stockin!A:A,Table1345[[#This Row],[Product ID]]))</f>
        <v/>
      </c>
      <c r="J51" s="10" t="str">
        <f>IF(Table1345[[#This Row],[Product ID]]="","",SUMIFS(StockOut!F:F,StockOut!B:B,Table1345[[#This Row],[Product ID]]))</f>
        <v/>
      </c>
      <c r="K51" s="10" t="str">
        <f>IF(A50="","",IF(Table1345[[#This Row],[StockonHand]]&lt;5, "Re-Order","Available"))</f>
        <v/>
      </c>
      <c r="L51" s="10" t="str">
        <f>IF(Table1345[[#This Row],[Product ID]]="","",PRODUCT(Table1345[[#This Row],[Beginning Stocks]]-Table1345[[#This Row],[Transact Qty]]))</f>
        <v/>
      </c>
    </row>
    <row r="52" spans="1:12" ht="30" customHeight="1" x14ac:dyDescent="0.3">
      <c r="A52" s="4" t="str">
        <f t="shared" si="1"/>
        <v/>
      </c>
      <c r="B52" s="4" t="str">
        <f>IF(Table1345[[#This Row],[Product ID]]="","",VLOOKUP(Table1345[[#This Row],[Product ID]],data,2,FALSE))</f>
        <v/>
      </c>
      <c r="C52" s="4" t="str">
        <f>IF(Table1345[[#This Row],[Product ID]]="","",VLOOKUP(Table1345[[#This Row],[Product ID]],data,3,FALSE))</f>
        <v/>
      </c>
      <c r="D52" s="7" t="str">
        <f>IF(Table1345[[#This Row],[Product ID]]="","",VLOOKUP(Table1345[[#This Row],[Product ID]],data,4,FALSE))</f>
        <v/>
      </c>
      <c r="E52" s="7" t="str">
        <f>IF(Table1345[[#This Row],[Product ID]]="","",VLOOKUP(Table1345[[#This Row],[Product ID]],data,5,FALSE))</f>
        <v/>
      </c>
      <c r="F52" s="7" t="str">
        <f>IF(Table1345[[#This Row],[Product ID]]="","",SUMIFS(Stockin!F:F,Stockin!A:A,Table1345[[#This Row],[Product ID]]))</f>
        <v/>
      </c>
      <c r="G52" s="7" t="str">
        <f>IF(Table1345[[#This Row],[Product ID]]="","",SUMIFS(StockOut!G:G,StockOut!B:B,Table1345[[#This Row],[Product ID]]))</f>
        <v/>
      </c>
      <c r="H52" s="7" t="str">
        <f>IF(Table1345[[#This Row],[Product ID]]="","",SUM(Table1345[[#This Row],[Unit ]]-Table1345[[#This Row],[Selling Price]])*Table1345[[#This Row],[Transact Qty]])</f>
        <v/>
      </c>
      <c r="I52" s="10" t="str">
        <f>IF(Table1345[[#This Row],[Product ID]]="","",SUMIFS(Stockin!E:E,Stockin!A:A,Table1345[[#This Row],[Product ID]]))</f>
        <v/>
      </c>
      <c r="J52" s="10" t="str">
        <f>IF(Table1345[[#This Row],[Product ID]]="","",SUMIFS(StockOut!F:F,StockOut!B:B,Table1345[[#This Row],[Product ID]]))</f>
        <v/>
      </c>
      <c r="K52" s="10" t="str">
        <f>IF(A51="","",IF(Table1345[[#This Row],[StockonHand]]&lt;5, "Re-Order","Available"))</f>
        <v/>
      </c>
      <c r="L52" s="10" t="str">
        <f>IF(Table1345[[#This Row],[Product ID]]="","",PRODUCT(Table1345[[#This Row],[Beginning Stocks]]-Table1345[[#This Row],[Transact Qty]]))</f>
        <v/>
      </c>
    </row>
    <row r="53" spans="1:12" ht="30" customHeight="1" x14ac:dyDescent="0.3">
      <c r="A53" s="4" t="str">
        <f t="shared" si="1"/>
        <v/>
      </c>
      <c r="B53" s="4" t="str">
        <f>IF(Table1345[[#This Row],[Product ID]]="","",VLOOKUP(Table1345[[#This Row],[Product ID]],data,2,FALSE))</f>
        <v/>
      </c>
      <c r="C53" s="4" t="str">
        <f>IF(Table1345[[#This Row],[Product ID]]="","",VLOOKUP(Table1345[[#This Row],[Product ID]],data,3,FALSE))</f>
        <v/>
      </c>
      <c r="D53" s="7" t="str">
        <f>IF(Table1345[[#This Row],[Product ID]]="","",VLOOKUP(Table1345[[#This Row],[Product ID]],data,4,FALSE))</f>
        <v/>
      </c>
      <c r="E53" s="7" t="str">
        <f>IF(Table1345[[#This Row],[Product ID]]="","",VLOOKUP(Table1345[[#This Row],[Product ID]],data,5,FALSE))</f>
        <v/>
      </c>
      <c r="F53" s="7" t="str">
        <f>IF(Table1345[[#This Row],[Product ID]]="","",SUMIFS(Stockin!F:F,Stockin!A:A,Table1345[[#This Row],[Product ID]]))</f>
        <v/>
      </c>
      <c r="G53" s="7" t="str">
        <f>IF(Table1345[[#This Row],[Product ID]]="","",SUMIFS(StockOut!G:G,StockOut!B:B,Table1345[[#This Row],[Product ID]]))</f>
        <v/>
      </c>
      <c r="H53" s="7" t="str">
        <f>IF(Table1345[[#This Row],[Product ID]]="","",SUM(Table1345[[#This Row],[Unit ]]-Table1345[[#This Row],[Selling Price]])*Table1345[[#This Row],[Transact Qty]])</f>
        <v/>
      </c>
      <c r="I53" s="10" t="str">
        <f>IF(Table1345[[#This Row],[Product ID]]="","",SUMIFS(Stockin!E:E,Stockin!A:A,Table1345[[#This Row],[Product ID]]))</f>
        <v/>
      </c>
      <c r="J53" s="10" t="str">
        <f>IF(Table1345[[#This Row],[Product ID]]="","",SUMIFS(StockOut!F:F,StockOut!B:B,Table1345[[#This Row],[Product ID]]))</f>
        <v/>
      </c>
      <c r="K53" s="10" t="str">
        <f>IF(A52="","",IF(Table1345[[#This Row],[StockonHand]]&lt;5, "Re-Order","Available"))</f>
        <v/>
      </c>
      <c r="L53" s="10" t="str">
        <f>IF(Table1345[[#This Row],[Product ID]]="","",PRODUCT(Table1345[[#This Row],[Beginning Stocks]]-Table1345[[#This Row],[Transact Qty]]))</f>
        <v/>
      </c>
    </row>
    <row r="54" spans="1:12" ht="30" customHeight="1" x14ac:dyDescent="0.3">
      <c r="A54" s="4" t="str">
        <f t="shared" si="1"/>
        <v/>
      </c>
      <c r="B54" s="4" t="str">
        <f>IF(Table1345[[#This Row],[Product ID]]="","",VLOOKUP(Table1345[[#This Row],[Product ID]],data,2,FALSE))</f>
        <v/>
      </c>
      <c r="C54" s="4" t="str">
        <f>IF(Table1345[[#This Row],[Product ID]]="","",VLOOKUP(Table1345[[#This Row],[Product ID]],data,3,FALSE))</f>
        <v/>
      </c>
      <c r="D54" s="7" t="str">
        <f>IF(Table1345[[#This Row],[Product ID]]="","",VLOOKUP(Table1345[[#This Row],[Product ID]],data,4,FALSE))</f>
        <v/>
      </c>
      <c r="E54" s="7" t="str">
        <f>IF(Table1345[[#This Row],[Product ID]]="","",VLOOKUP(Table1345[[#This Row],[Product ID]],data,5,FALSE))</f>
        <v/>
      </c>
      <c r="F54" s="7" t="str">
        <f>IF(Table1345[[#This Row],[Product ID]]="","",SUMIFS(Stockin!F:F,Stockin!A:A,Table1345[[#This Row],[Product ID]]))</f>
        <v/>
      </c>
      <c r="G54" s="7" t="str">
        <f>IF(Table1345[[#This Row],[Product ID]]="","",SUMIFS(StockOut!G:G,StockOut!B:B,Table1345[[#This Row],[Product ID]]))</f>
        <v/>
      </c>
      <c r="H54" s="7" t="str">
        <f>IF(Table1345[[#This Row],[Product ID]]="","",SUM(Table1345[[#This Row],[Unit ]]-Table1345[[#This Row],[Selling Price]])*Table1345[[#This Row],[Transact Qty]])</f>
        <v/>
      </c>
      <c r="I54" s="10" t="str">
        <f>IF(Table1345[[#This Row],[Product ID]]="","",SUMIFS(Stockin!E:E,Stockin!A:A,Table1345[[#This Row],[Product ID]]))</f>
        <v/>
      </c>
      <c r="J54" s="10" t="str">
        <f>IF(Table1345[[#This Row],[Product ID]]="","",SUMIFS(StockOut!F:F,StockOut!B:B,Table1345[[#This Row],[Product ID]]))</f>
        <v/>
      </c>
      <c r="K54" s="10" t="str">
        <f>IF(A53="","",IF(Table1345[[#This Row],[StockonHand]]&lt;5, "Re-Order","Available"))</f>
        <v/>
      </c>
      <c r="L54" s="10" t="str">
        <f>IF(Table1345[[#This Row],[Product ID]]="","",PRODUCT(Table1345[[#This Row],[Beginning Stocks]]-Table1345[[#This Row],[Transact Qty]]))</f>
        <v/>
      </c>
    </row>
    <row r="55" spans="1:12" ht="30" customHeight="1" x14ac:dyDescent="0.3">
      <c r="A55" s="4" t="str">
        <f t="shared" si="1"/>
        <v/>
      </c>
      <c r="B55" s="4" t="str">
        <f>IF(Table1345[[#This Row],[Product ID]]="","",VLOOKUP(Table1345[[#This Row],[Product ID]],data,2,FALSE))</f>
        <v/>
      </c>
      <c r="C55" s="4" t="str">
        <f>IF(Table1345[[#This Row],[Product ID]]="","",VLOOKUP(Table1345[[#This Row],[Product ID]],data,3,FALSE))</f>
        <v/>
      </c>
      <c r="D55" s="7" t="str">
        <f>IF(Table1345[[#This Row],[Product ID]]="","",VLOOKUP(Table1345[[#This Row],[Product ID]],data,4,FALSE))</f>
        <v/>
      </c>
      <c r="E55" s="7" t="str">
        <f>IF(Table1345[[#This Row],[Product ID]]="","",VLOOKUP(Table1345[[#This Row],[Product ID]],data,5,FALSE))</f>
        <v/>
      </c>
      <c r="F55" s="7" t="str">
        <f>IF(Table1345[[#This Row],[Product ID]]="","",SUMIFS(Stockin!F:F,Stockin!A:A,Table1345[[#This Row],[Product ID]]))</f>
        <v/>
      </c>
      <c r="G55" s="7" t="str">
        <f>IF(Table1345[[#This Row],[Product ID]]="","",SUMIFS(StockOut!G:G,StockOut!B:B,Table1345[[#This Row],[Product ID]]))</f>
        <v/>
      </c>
      <c r="H55" s="7" t="str">
        <f>IF(Table1345[[#This Row],[Product ID]]="","",SUM(Table1345[[#This Row],[Unit ]]-Table1345[[#This Row],[Selling Price]])*Table1345[[#This Row],[Transact Qty]])</f>
        <v/>
      </c>
      <c r="I55" s="10" t="str">
        <f>IF(Table1345[[#This Row],[Product ID]]="","",SUMIFS(Stockin!E:E,Stockin!A:A,Table1345[[#This Row],[Product ID]]))</f>
        <v/>
      </c>
      <c r="J55" s="10" t="str">
        <f>IF(Table1345[[#This Row],[Product ID]]="","",SUMIFS(StockOut!F:F,StockOut!B:B,Table1345[[#This Row],[Product ID]]))</f>
        <v/>
      </c>
      <c r="K55" s="10" t="str">
        <f>IF(A54="","",IF(Table1345[[#This Row],[StockonHand]]&lt;5, "Re-Order","Available"))</f>
        <v/>
      </c>
      <c r="L55" s="10" t="str">
        <f>IF(Table1345[[#This Row],[Product ID]]="","",PRODUCT(Table1345[[#This Row],[Beginning Stocks]]-Table1345[[#This Row],[Transact Qty]]))</f>
        <v/>
      </c>
    </row>
    <row r="56" spans="1:12" ht="30" customHeight="1" x14ac:dyDescent="0.3">
      <c r="A56" s="4" t="str">
        <f t="shared" si="1"/>
        <v/>
      </c>
      <c r="B56" s="4" t="str">
        <f>IF(Table1345[[#This Row],[Product ID]]="","",VLOOKUP(Table1345[[#This Row],[Product ID]],data,2,FALSE))</f>
        <v/>
      </c>
      <c r="C56" s="4" t="str">
        <f>IF(Table1345[[#This Row],[Product ID]]="","",VLOOKUP(Table1345[[#This Row],[Product ID]],data,3,FALSE))</f>
        <v/>
      </c>
      <c r="D56" s="7" t="str">
        <f>IF(Table1345[[#This Row],[Product ID]]="","",VLOOKUP(Table1345[[#This Row],[Product ID]],data,4,FALSE))</f>
        <v/>
      </c>
      <c r="E56" s="7" t="str">
        <f>IF(Table1345[[#This Row],[Product ID]]="","",VLOOKUP(Table1345[[#This Row],[Product ID]],data,5,FALSE))</f>
        <v/>
      </c>
      <c r="F56" s="7" t="str">
        <f>IF(Table1345[[#This Row],[Product ID]]="","",SUMIFS(Stockin!F:F,Stockin!A:A,Table1345[[#This Row],[Product ID]]))</f>
        <v/>
      </c>
      <c r="G56" s="7" t="str">
        <f>IF(Table1345[[#This Row],[Product ID]]="","",SUMIFS(StockOut!G:G,StockOut!B:B,Table1345[[#This Row],[Product ID]]))</f>
        <v/>
      </c>
      <c r="H56" s="7" t="str">
        <f>IF(Table1345[[#This Row],[Product ID]]="","",SUM(Table1345[[#This Row],[Unit ]]-Table1345[[#This Row],[Selling Price]])*Table1345[[#This Row],[Transact Qty]])</f>
        <v/>
      </c>
      <c r="I56" s="10" t="str">
        <f>IF(Table1345[[#This Row],[Product ID]]="","",SUMIFS(Stockin!E:E,Stockin!A:A,Table1345[[#This Row],[Product ID]]))</f>
        <v/>
      </c>
      <c r="J56" s="10" t="str">
        <f>IF(Table1345[[#This Row],[Product ID]]="","",SUMIFS(StockOut!F:F,StockOut!B:B,Table1345[[#This Row],[Product ID]]))</f>
        <v/>
      </c>
      <c r="K56" s="10" t="str">
        <f>IF(A55="","",IF(Table1345[[#This Row],[StockonHand]]&lt;5, "Re-Order","Available"))</f>
        <v/>
      </c>
      <c r="L56" s="10" t="str">
        <f>IF(Table1345[[#This Row],[Product ID]]="","",PRODUCT(Table1345[[#This Row],[Beginning Stocks]]-Table1345[[#This Row],[Transact Qty]]))</f>
        <v/>
      </c>
    </row>
    <row r="57" spans="1:12" ht="30" customHeight="1" x14ac:dyDescent="0.3">
      <c r="A57" s="4" t="str">
        <f t="shared" si="1"/>
        <v/>
      </c>
      <c r="B57" s="4" t="str">
        <f>IF(Table1345[[#This Row],[Product ID]]="","",VLOOKUP(Table1345[[#This Row],[Product ID]],data,2,FALSE))</f>
        <v/>
      </c>
      <c r="C57" s="4" t="str">
        <f>IF(Table1345[[#This Row],[Product ID]]="","",VLOOKUP(Table1345[[#This Row],[Product ID]],data,3,FALSE))</f>
        <v/>
      </c>
      <c r="D57" s="7" t="str">
        <f>IF(Table1345[[#This Row],[Product ID]]="","",VLOOKUP(Table1345[[#This Row],[Product ID]],data,4,FALSE))</f>
        <v/>
      </c>
      <c r="E57" s="7" t="str">
        <f>IF(Table1345[[#This Row],[Product ID]]="","",VLOOKUP(Table1345[[#This Row],[Product ID]],data,5,FALSE))</f>
        <v/>
      </c>
      <c r="F57" s="7" t="str">
        <f>IF(Table1345[[#This Row],[Product ID]]="","",SUMIFS(Stockin!F:F,Stockin!A:A,Table1345[[#This Row],[Product ID]]))</f>
        <v/>
      </c>
      <c r="G57" s="7" t="str">
        <f>IF(Table1345[[#This Row],[Product ID]]="","",SUMIFS(StockOut!G:G,StockOut!B:B,Table1345[[#This Row],[Product ID]]))</f>
        <v/>
      </c>
      <c r="H57" s="7" t="str">
        <f>IF(Table1345[[#This Row],[Product ID]]="","",SUM(Table1345[[#This Row],[Unit ]]-Table1345[[#This Row],[Selling Price]])*Table1345[[#This Row],[Transact Qty]])</f>
        <v/>
      </c>
      <c r="I57" s="10" t="str">
        <f>IF(Table1345[[#This Row],[Product ID]]="","",SUMIFS(Stockin!E:E,Stockin!A:A,Table1345[[#This Row],[Product ID]]))</f>
        <v/>
      </c>
      <c r="J57" s="10" t="str">
        <f>IF(Table1345[[#This Row],[Product ID]]="","",SUMIFS(StockOut!F:F,StockOut!B:B,Table1345[[#This Row],[Product ID]]))</f>
        <v/>
      </c>
      <c r="K57" s="10" t="str">
        <f>IF(A56="","",IF(Table1345[[#This Row],[StockonHand]]&lt;5, "Re-Order","Available"))</f>
        <v/>
      </c>
      <c r="L57" s="10" t="str">
        <f>IF(Table1345[[#This Row],[Product ID]]="","",PRODUCT(Table1345[[#This Row],[Beginning Stocks]]-Table1345[[#This Row],[Transact Qty]]))</f>
        <v/>
      </c>
    </row>
    <row r="58" spans="1:12" ht="30" customHeight="1" x14ac:dyDescent="0.3">
      <c r="A58" s="4" t="str">
        <f t="shared" si="1"/>
        <v/>
      </c>
      <c r="B58" s="4" t="str">
        <f>IF(Table1345[[#This Row],[Product ID]]="","",VLOOKUP(Table1345[[#This Row],[Product ID]],data,2,FALSE))</f>
        <v/>
      </c>
      <c r="C58" s="4" t="str">
        <f>IF(Table1345[[#This Row],[Product ID]]="","",VLOOKUP(Table1345[[#This Row],[Product ID]],data,3,FALSE))</f>
        <v/>
      </c>
      <c r="D58" s="7" t="str">
        <f>IF(Table1345[[#This Row],[Product ID]]="","",VLOOKUP(Table1345[[#This Row],[Product ID]],data,4,FALSE))</f>
        <v/>
      </c>
      <c r="E58" s="7" t="str">
        <f>IF(Table1345[[#This Row],[Product ID]]="","",VLOOKUP(Table1345[[#This Row],[Product ID]],data,5,FALSE))</f>
        <v/>
      </c>
      <c r="F58" s="7" t="str">
        <f>IF(Table1345[[#This Row],[Product ID]]="","",SUMIFS(Stockin!F:F,Stockin!A:A,Table1345[[#This Row],[Product ID]]))</f>
        <v/>
      </c>
      <c r="G58" s="7" t="str">
        <f>IF(Table1345[[#This Row],[Product ID]]="","",SUMIFS(StockOut!G:G,StockOut!B:B,Table1345[[#This Row],[Product ID]]))</f>
        <v/>
      </c>
      <c r="H58" s="7" t="str">
        <f>IF(Table1345[[#This Row],[Product ID]]="","",SUM(Table1345[[#This Row],[Unit ]]-Table1345[[#This Row],[Selling Price]])*Table1345[[#This Row],[Transact Qty]])</f>
        <v/>
      </c>
      <c r="I58" s="10" t="str">
        <f>IF(Table1345[[#This Row],[Product ID]]="","",SUMIFS(Stockin!E:E,Stockin!A:A,Table1345[[#This Row],[Product ID]]))</f>
        <v/>
      </c>
      <c r="J58" s="10" t="str">
        <f>IF(Table1345[[#This Row],[Product ID]]="","",SUMIFS(StockOut!F:F,StockOut!B:B,Table1345[[#This Row],[Product ID]]))</f>
        <v/>
      </c>
      <c r="K58" s="10" t="str">
        <f>IF(A57="","",IF(Table1345[[#This Row],[StockonHand]]&lt;5, "Re-Order","Available"))</f>
        <v/>
      </c>
      <c r="L58" s="10" t="str">
        <f>IF(Table1345[[#This Row],[Product ID]]="","",PRODUCT(Table1345[[#This Row],[Beginning Stocks]]-Table1345[[#This Row],[Transact Qty]]))</f>
        <v/>
      </c>
    </row>
    <row r="59" spans="1:12" ht="30" customHeight="1" x14ac:dyDescent="0.3">
      <c r="A59" s="4" t="str">
        <f t="shared" si="1"/>
        <v/>
      </c>
      <c r="B59" s="4" t="str">
        <f>IF(Table1345[[#This Row],[Product ID]]="","",VLOOKUP(Table1345[[#This Row],[Product ID]],data,2,FALSE))</f>
        <v/>
      </c>
      <c r="C59" s="4" t="str">
        <f>IF(Table1345[[#This Row],[Product ID]]="","",VLOOKUP(Table1345[[#This Row],[Product ID]],data,3,FALSE))</f>
        <v/>
      </c>
      <c r="D59" s="7" t="str">
        <f>IF(Table1345[[#This Row],[Product ID]]="","",VLOOKUP(Table1345[[#This Row],[Product ID]],data,4,FALSE))</f>
        <v/>
      </c>
      <c r="E59" s="7" t="str">
        <f>IF(Table1345[[#This Row],[Product ID]]="","",VLOOKUP(Table1345[[#This Row],[Product ID]],data,5,FALSE))</f>
        <v/>
      </c>
      <c r="F59" s="7" t="str">
        <f>IF(Table1345[[#This Row],[Product ID]]="","",SUMIFS(Stockin!F:F,Stockin!A:A,Table1345[[#This Row],[Product ID]]))</f>
        <v/>
      </c>
      <c r="G59" s="7" t="str">
        <f>IF(Table1345[[#This Row],[Product ID]]="","",SUMIFS(StockOut!G:G,StockOut!B:B,Table1345[[#This Row],[Product ID]]))</f>
        <v/>
      </c>
      <c r="H59" s="7" t="str">
        <f>IF(Table1345[[#This Row],[Product ID]]="","",SUM(Table1345[[#This Row],[Unit ]]-Table1345[[#This Row],[Selling Price]])*Table1345[[#This Row],[Transact Qty]])</f>
        <v/>
      </c>
      <c r="I59" s="10" t="str">
        <f>IF(Table1345[[#This Row],[Product ID]]="","",SUMIFS(Stockin!E:E,Stockin!A:A,Table1345[[#This Row],[Product ID]]))</f>
        <v/>
      </c>
      <c r="J59" s="10" t="str">
        <f>IF(Table1345[[#This Row],[Product ID]]="","",SUMIFS(StockOut!F:F,StockOut!B:B,Table1345[[#This Row],[Product ID]]))</f>
        <v/>
      </c>
      <c r="K59" s="10" t="str">
        <f>IF(A58="","",IF(Table1345[[#This Row],[StockonHand]]&lt;5, "Re-Order","Available"))</f>
        <v/>
      </c>
      <c r="L59" s="10" t="str">
        <f>IF(Table1345[[#This Row],[Product ID]]="","",PRODUCT(Table1345[[#This Row],[Beginning Stocks]]-Table1345[[#This Row],[Transact Qty]]))</f>
        <v/>
      </c>
    </row>
    <row r="60" spans="1:12" ht="30" customHeight="1" x14ac:dyDescent="0.3">
      <c r="A60" s="4" t="str">
        <f t="shared" si="1"/>
        <v/>
      </c>
      <c r="B60" s="4" t="str">
        <f>IF(Table1345[[#This Row],[Product ID]]="","",VLOOKUP(Table1345[[#This Row],[Product ID]],data,2,FALSE))</f>
        <v/>
      </c>
      <c r="C60" s="4" t="str">
        <f>IF(Table1345[[#This Row],[Product ID]]="","",VLOOKUP(Table1345[[#This Row],[Product ID]],data,3,FALSE))</f>
        <v/>
      </c>
      <c r="D60" s="7" t="str">
        <f>IF(Table1345[[#This Row],[Product ID]]="","",VLOOKUP(Table1345[[#This Row],[Product ID]],data,4,FALSE))</f>
        <v/>
      </c>
      <c r="E60" s="7" t="str">
        <f>IF(Table1345[[#This Row],[Product ID]]="","",VLOOKUP(Table1345[[#This Row],[Product ID]],data,5,FALSE))</f>
        <v/>
      </c>
      <c r="F60" s="7" t="str">
        <f>IF(Table1345[[#This Row],[Product ID]]="","",SUMIFS(Stockin!F:F,Stockin!A:A,Table1345[[#This Row],[Product ID]]))</f>
        <v/>
      </c>
      <c r="G60" s="7" t="str">
        <f>IF(Table1345[[#This Row],[Product ID]]="","",SUMIFS(StockOut!G:G,StockOut!B:B,Table1345[[#This Row],[Product ID]]))</f>
        <v/>
      </c>
      <c r="H60" s="7" t="str">
        <f>IF(Table1345[[#This Row],[Product ID]]="","",SUM(Table1345[[#This Row],[Unit ]]-Table1345[[#This Row],[Selling Price]])*Table1345[[#This Row],[Transact Qty]])</f>
        <v/>
      </c>
      <c r="I60" s="10" t="str">
        <f>IF(Table1345[[#This Row],[Product ID]]="","",SUMIFS(Stockin!E:E,Stockin!A:A,Table1345[[#This Row],[Product ID]]))</f>
        <v/>
      </c>
      <c r="J60" s="10" t="str">
        <f>IF(Table1345[[#This Row],[Product ID]]="","",SUMIFS(StockOut!F:F,StockOut!B:B,Table1345[[#This Row],[Product ID]]))</f>
        <v/>
      </c>
      <c r="K60" s="10" t="str">
        <f>IF(A59="","",IF(Table1345[[#This Row],[StockonHand]]&lt;5, "Re-Order","Available"))</f>
        <v/>
      </c>
      <c r="L60" s="10" t="str">
        <f>IF(Table1345[[#This Row],[Product ID]]="","",PRODUCT(Table1345[[#This Row],[Beginning Stocks]]-Table1345[[#This Row],[Transact Qty]]))</f>
        <v/>
      </c>
    </row>
    <row r="61" spans="1:12" ht="30" customHeight="1" x14ac:dyDescent="0.3">
      <c r="A61" s="4" t="str">
        <f t="shared" si="1"/>
        <v/>
      </c>
      <c r="B61" s="4" t="str">
        <f>IF(Table1345[[#This Row],[Product ID]]="","",VLOOKUP(Table1345[[#This Row],[Product ID]],data,2,FALSE))</f>
        <v/>
      </c>
      <c r="C61" s="4" t="str">
        <f>IF(Table1345[[#This Row],[Product ID]]="","",VLOOKUP(Table1345[[#This Row],[Product ID]],data,3,FALSE))</f>
        <v/>
      </c>
      <c r="D61" s="7" t="str">
        <f>IF(Table1345[[#This Row],[Product ID]]="","",VLOOKUP(Table1345[[#This Row],[Product ID]],data,4,FALSE))</f>
        <v/>
      </c>
      <c r="E61" s="7" t="str">
        <f>IF(Table1345[[#This Row],[Product ID]]="","",VLOOKUP(Table1345[[#This Row],[Product ID]],data,5,FALSE))</f>
        <v/>
      </c>
      <c r="F61" s="7" t="str">
        <f>IF(Table1345[[#This Row],[Product ID]]="","",SUMIFS(Stockin!F:F,Stockin!A:A,Table1345[[#This Row],[Product ID]]))</f>
        <v/>
      </c>
      <c r="G61" s="7" t="str">
        <f>IF(Table1345[[#This Row],[Product ID]]="","",SUMIFS(StockOut!G:G,StockOut!B:B,Table1345[[#This Row],[Product ID]]))</f>
        <v/>
      </c>
      <c r="H61" s="7" t="str">
        <f>IF(Table1345[[#This Row],[Product ID]]="","",SUM(Table1345[[#This Row],[Unit ]]-Table1345[[#This Row],[Selling Price]])*Table1345[[#This Row],[Transact Qty]])</f>
        <v/>
      </c>
      <c r="I61" s="10" t="str">
        <f>IF(Table1345[[#This Row],[Product ID]]="","",SUMIFS(Stockin!E:E,Stockin!A:A,Table1345[[#This Row],[Product ID]]))</f>
        <v/>
      </c>
      <c r="J61" s="10" t="str">
        <f>IF(Table1345[[#This Row],[Product ID]]="","",SUMIFS(StockOut!F:F,StockOut!B:B,Table1345[[#This Row],[Product ID]]))</f>
        <v/>
      </c>
      <c r="K61" s="10" t="str">
        <f>IF(A60="","",IF(Table1345[[#This Row],[StockonHand]]&lt;5, "Re-Order","Available"))</f>
        <v/>
      </c>
      <c r="L61" s="10" t="str">
        <f>IF(Table1345[[#This Row],[Product ID]]="","",PRODUCT(Table1345[[#This Row],[Beginning Stocks]]-Table1345[[#This Row],[Transact Qty]]))</f>
        <v/>
      </c>
    </row>
    <row r="62" spans="1:12" ht="30" customHeight="1" x14ac:dyDescent="0.3">
      <c r="A62" s="4" t="str">
        <f t="shared" si="1"/>
        <v/>
      </c>
      <c r="B62" s="4" t="str">
        <f>IF(Table1345[[#This Row],[Product ID]]="","",VLOOKUP(Table1345[[#This Row],[Product ID]],data,2,FALSE))</f>
        <v/>
      </c>
      <c r="C62" s="4" t="str">
        <f>IF(Table1345[[#This Row],[Product ID]]="","",VLOOKUP(Table1345[[#This Row],[Product ID]],data,3,FALSE))</f>
        <v/>
      </c>
      <c r="D62" s="7" t="str">
        <f>IF(Table1345[[#This Row],[Product ID]]="","",VLOOKUP(Table1345[[#This Row],[Product ID]],data,4,FALSE))</f>
        <v/>
      </c>
      <c r="E62" s="7" t="str">
        <f>IF(Table1345[[#This Row],[Product ID]]="","",VLOOKUP(Table1345[[#This Row],[Product ID]],data,5,FALSE))</f>
        <v/>
      </c>
      <c r="F62" s="7" t="str">
        <f>IF(Table1345[[#This Row],[Product ID]]="","",SUMIFS(Stockin!F:F,Stockin!A:A,Table1345[[#This Row],[Product ID]]))</f>
        <v/>
      </c>
      <c r="G62" s="7" t="str">
        <f>IF(Table1345[[#This Row],[Product ID]]="","",SUMIFS(StockOut!G:G,StockOut!B:B,Table1345[[#This Row],[Product ID]]))</f>
        <v/>
      </c>
      <c r="H62" s="7" t="str">
        <f>IF(Table1345[[#This Row],[Product ID]]="","",SUM(Table1345[[#This Row],[Unit ]]-Table1345[[#This Row],[Selling Price]])*Table1345[[#This Row],[Transact Qty]])</f>
        <v/>
      </c>
      <c r="I62" s="10" t="str">
        <f>IF(Table1345[[#This Row],[Product ID]]="","",SUMIFS(Stockin!E:E,Stockin!A:A,Table1345[[#This Row],[Product ID]]))</f>
        <v/>
      </c>
      <c r="J62" s="10" t="str">
        <f>IF(Table1345[[#This Row],[Product ID]]="","",SUMIFS(StockOut!F:F,StockOut!B:B,Table1345[[#This Row],[Product ID]]))</f>
        <v/>
      </c>
      <c r="K62" s="10" t="str">
        <f>IF(A61="","",IF(Table1345[[#This Row],[StockonHand]]&lt;5, "Re-Order","Available"))</f>
        <v/>
      </c>
      <c r="L62" s="10" t="str">
        <f>IF(Table1345[[#This Row],[Product ID]]="","",PRODUCT(Table1345[[#This Row],[Beginning Stocks]]-Table1345[[#This Row],[Transact Qty]]))</f>
        <v/>
      </c>
    </row>
    <row r="63" spans="1:12" ht="30" customHeight="1" x14ac:dyDescent="0.3">
      <c r="A63" s="4" t="str">
        <f t="shared" si="1"/>
        <v/>
      </c>
      <c r="B63" s="4" t="str">
        <f>IF(Table1345[[#This Row],[Product ID]]="","",VLOOKUP(Table1345[[#This Row],[Product ID]],data,2,FALSE))</f>
        <v/>
      </c>
      <c r="C63" s="4" t="str">
        <f>IF(Table1345[[#This Row],[Product ID]]="","",VLOOKUP(Table1345[[#This Row],[Product ID]],data,3,FALSE))</f>
        <v/>
      </c>
      <c r="D63" s="7" t="str">
        <f>IF(Table1345[[#This Row],[Product ID]]="","",VLOOKUP(Table1345[[#This Row],[Product ID]],data,4,FALSE))</f>
        <v/>
      </c>
      <c r="E63" s="7" t="str">
        <f>IF(Table1345[[#This Row],[Product ID]]="","",VLOOKUP(Table1345[[#This Row],[Product ID]],data,5,FALSE))</f>
        <v/>
      </c>
      <c r="F63" s="7" t="str">
        <f>IF(Table1345[[#This Row],[Product ID]]="","",SUMIFS(Stockin!F:F,Stockin!A:A,Table1345[[#This Row],[Product ID]]))</f>
        <v/>
      </c>
      <c r="G63" s="7" t="str">
        <f>IF(Table1345[[#This Row],[Product ID]]="","",SUMIFS(StockOut!G:G,StockOut!B:B,Table1345[[#This Row],[Product ID]]))</f>
        <v/>
      </c>
      <c r="H63" s="7" t="str">
        <f>IF(Table1345[[#This Row],[Product ID]]="","",SUM(Table1345[[#This Row],[Unit ]]-Table1345[[#This Row],[Selling Price]])*Table1345[[#This Row],[Transact Qty]])</f>
        <v/>
      </c>
      <c r="I63" s="10" t="str">
        <f>IF(Table1345[[#This Row],[Product ID]]="","",SUMIFS(Stockin!E:E,Stockin!A:A,Table1345[[#This Row],[Product ID]]))</f>
        <v/>
      </c>
      <c r="J63" s="10" t="str">
        <f>IF(Table1345[[#This Row],[Product ID]]="","",SUMIFS(StockOut!F:F,StockOut!B:B,Table1345[[#This Row],[Product ID]]))</f>
        <v/>
      </c>
      <c r="K63" s="10" t="str">
        <f>IF(A62="","",IF(Table1345[[#This Row],[StockonHand]]&lt;5, "Re-Order","Available"))</f>
        <v/>
      </c>
      <c r="L63" s="10" t="str">
        <f>IF(Table1345[[#This Row],[Product ID]]="","",PRODUCT(Table1345[[#This Row],[Beginning Stocks]]-Table1345[[#This Row],[Transact Qty]]))</f>
        <v/>
      </c>
    </row>
    <row r="64" spans="1:12" ht="30" customHeight="1" x14ac:dyDescent="0.3">
      <c r="A64" s="4" t="str">
        <f t="shared" si="1"/>
        <v/>
      </c>
      <c r="B64" s="4" t="str">
        <f>IF(Table1345[[#This Row],[Product ID]]="","",VLOOKUP(Table1345[[#This Row],[Product ID]],data,2,FALSE))</f>
        <v/>
      </c>
      <c r="C64" s="4" t="str">
        <f>IF(Table1345[[#This Row],[Product ID]]="","",VLOOKUP(Table1345[[#This Row],[Product ID]],data,3,FALSE))</f>
        <v/>
      </c>
      <c r="D64" s="7" t="str">
        <f>IF(Table1345[[#This Row],[Product ID]]="","",VLOOKUP(Table1345[[#This Row],[Product ID]],data,4,FALSE))</f>
        <v/>
      </c>
      <c r="E64" s="7" t="str">
        <f>IF(Table1345[[#This Row],[Product ID]]="","",VLOOKUP(Table1345[[#This Row],[Product ID]],data,5,FALSE))</f>
        <v/>
      </c>
      <c r="F64" s="7" t="str">
        <f>IF(Table1345[[#This Row],[Product ID]]="","",SUMIFS(Stockin!F:F,Stockin!A:A,Table1345[[#This Row],[Product ID]]))</f>
        <v/>
      </c>
      <c r="G64" s="7" t="str">
        <f>IF(Table1345[[#This Row],[Product ID]]="","",SUMIFS(StockOut!G:G,StockOut!B:B,Table1345[[#This Row],[Product ID]]))</f>
        <v/>
      </c>
      <c r="H64" s="7" t="str">
        <f>IF(Table1345[[#This Row],[Product ID]]="","",SUM(Table1345[[#This Row],[Unit ]]-Table1345[[#This Row],[Selling Price]])*Table1345[[#This Row],[Transact Qty]])</f>
        <v/>
      </c>
      <c r="I64" s="10" t="str">
        <f>IF(Table1345[[#This Row],[Product ID]]="","",SUMIFS(Stockin!E:E,Stockin!A:A,Table1345[[#This Row],[Product ID]]))</f>
        <v/>
      </c>
      <c r="J64" s="10" t="str">
        <f>IF(Table1345[[#This Row],[Product ID]]="","",SUMIFS(StockOut!F:F,StockOut!B:B,Table1345[[#This Row],[Product ID]]))</f>
        <v/>
      </c>
      <c r="K64" s="10" t="str">
        <f>IF(A63="","",IF(Table1345[[#This Row],[StockonHand]]&lt;5, "Re-Order","Available"))</f>
        <v/>
      </c>
      <c r="L64" s="10" t="str">
        <f>IF(Table1345[[#This Row],[Product ID]]="","",PRODUCT(Table1345[[#This Row],[Beginning Stocks]]-Table1345[[#This Row],[Transact Qty]]))</f>
        <v/>
      </c>
    </row>
    <row r="65" spans="1:12" ht="30" customHeight="1" x14ac:dyDescent="0.3">
      <c r="A65" s="4" t="str">
        <f t="shared" si="1"/>
        <v/>
      </c>
      <c r="B65" s="4" t="str">
        <f>IF(Table1345[[#This Row],[Product ID]]="","",VLOOKUP(Table1345[[#This Row],[Product ID]],data,2,FALSE))</f>
        <v/>
      </c>
      <c r="C65" s="4" t="str">
        <f>IF(Table1345[[#This Row],[Product ID]]="","",VLOOKUP(Table1345[[#This Row],[Product ID]],data,3,FALSE))</f>
        <v/>
      </c>
      <c r="D65" s="7" t="str">
        <f>IF(Table1345[[#This Row],[Product ID]]="","",VLOOKUP(Table1345[[#This Row],[Product ID]],data,4,FALSE))</f>
        <v/>
      </c>
      <c r="E65" s="7" t="str">
        <f>IF(Table1345[[#This Row],[Product ID]]="","",VLOOKUP(Table1345[[#This Row],[Product ID]],data,5,FALSE))</f>
        <v/>
      </c>
      <c r="F65" s="7" t="str">
        <f>IF(Table1345[[#This Row],[Product ID]]="","",SUMIFS(Stockin!F:F,Stockin!A:A,Table1345[[#This Row],[Product ID]]))</f>
        <v/>
      </c>
      <c r="G65" s="7" t="str">
        <f>IF(Table1345[[#This Row],[Product ID]]="","",SUMIFS(StockOut!G:G,StockOut!B:B,Table1345[[#This Row],[Product ID]]))</f>
        <v/>
      </c>
      <c r="H65" s="7" t="str">
        <f>IF(Table1345[[#This Row],[Product ID]]="","",SUM(Table1345[[#This Row],[Unit ]]-Table1345[[#This Row],[Selling Price]])*Table1345[[#This Row],[Transact Qty]])</f>
        <v/>
      </c>
      <c r="I65" s="10" t="str">
        <f>IF(Table1345[[#This Row],[Product ID]]="","",SUMIFS(Stockin!E:E,Stockin!A:A,Table1345[[#This Row],[Product ID]]))</f>
        <v/>
      </c>
      <c r="J65" s="10" t="str">
        <f>IF(Table1345[[#This Row],[Product ID]]="","",SUMIFS(StockOut!F:F,StockOut!B:B,Table1345[[#This Row],[Product ID]]))</f>
        <v/>
      </c>
      <c r="K65" s="10" t="str">
        <f>IF(A64="","",IF(Table1345[[#This Row],[StockonHand]]&lt;5, "Re-Order","Available"))</f>
        <v/>
      </c>
      <c r="L65" s="10" t="str">
        <f>IF(Table1345[[#This Row],[Product ID]]="","",PRODUCT(Table1345[[#This Row],[Beginning Stocks]]-Table1345[[#This Row],[Transact Qty]]))</f>
        <v/>
      </c>
    </row>
    <row r="66" spans="1:12" ht="30" customHeight="1" x14ac:dyDescent="0.3">
      <c r="A66" s="4" t="str">
        <f t="shared" ref="A66:A97" si="2">IF(item="","",item)</f>
        <v/>
      </c>
      <c r="B66" s="4" t="str">
        <f>IF(Table1345[[#This Row],[Product ID]]="","",VLOOKUP(Table1345[[#This Row],[Product ID]],data,2,FALSE))</f>
        <v/>
      </c>
      <c r="C66" s="4" t="str">
        <f>IF(Table1345[[#This Row],[Product ID]]="","",VLOOKUP(Table1345[[#This Row],[Product ID]],data,3,FALSE))</f>
        <v/>
      </c>
      <c r="D66" s="7" t="str">
        <f>IF(Table1345[[#This Row],[Product ID]]="","",VLOOKUP(Table1345[[#This Row],[Product ID]],data,4,FALSE))</f>
        <v/>
      </c>
      <c r="E66" s="7" t="str">
        <f>IF(Table1345[[#This Row],[Product ID]]="","",VLOOKUP(Table1345[[#This Row],[Product ID]],data,5,FALSE))</f>
        <v/>
      </c>
      <c r="F66" s="7" t="str">
        <f>IF(Table1345[[#This Row],[Product ID]]="","",SUMIFS(Stockin!F:F,Stockin!A:A,Table1345[[#This Row],[Product ID]]))</f>
        <v/>
      </c>
      <c r="G66" s="7" t="str">
        <f>IF(Table1345[[#This Row],[Product ID]]="","",SUMIFS(StockOut!G:G,StockOut!B:B,Table1345[[#This Row],[Product ID]]))</f>
        <v/>
      </c>
      <c r="H66" s="7" t="str">
        <f>IF(Table1345[[#This Row],[Product ID]]="","",SUM(Table1345[[#This Row],[Unit ]]-Table1345[[#This Row],[Selling Price]])*Table1345[[#This Row],[Transact Qty]])</f>
        <v/>
      </c>
      <c r="I66" s="10" t="str">
        <f>IF(Table1345[[#This Row],[Product ID]]="","",SUMIFS(Stockin!E:E,Stockin!A:A,Table1345[[#This Row],[Product ID]]))</f>
        <v/>
      </c>
      <c r="J66" s="10" t="str">
        <f>IF(Table1345[[#This Row],[Product ID]]="","",SUMIFS(StockOut!F:F,StockOut!B:B,Table1345[[#This Row],[Product ID]]))</f>
        <v/>
      </c>
      <c r="K66" s="10" t="str">
        <f>IF(A65="","",IF(Table1345[[#This Row],[StockonHand]]&lt;5, "Re-Order","Available"))</f>
        <v/>
      </c>
      <c r="L66" s="10" t="str">
        <f>IF(Table1345[[#This Row],[Product ID]]="","",PRODUCT(Table1345[[#This Row],[Beginning Stocks]]-Table1345[[#This Row],[Transact Qty]]))</f>
        <v/>
      </c>
    </row>
    <row r="67" spans="1:12" ht="30" customHeight="1" x14ac:dyDescent="0.3">
      <c r="A67" s="4" t="str">
        <f t="shared" si="2"/>
        <v/>
      </c>
      <c r="B67" s="4" t="str">
        <f>IF(Table1345[[#This Row],[Product ID]]="","",VLOOKUP(Table1345[[#This Row],[Product ID]],data,2,FALSE))</f>
        <v/>
      </c>
      <c r="C67" s="4" t="str">
        <f>IF(Table1345[[#This Row],[Product ID]]="","",VLOOKUP(Table1345[[#This Row],[Product ID]],data,3,FALSE))</f>
        <v/>
      </c>
      <c r="D67" s="7" t="str">
        <f>IF(Table1345[[#This Row],[Product ID]]="","",VLOOKUP(Table1345[[#This Row],[Product ID]],data,4,FALSE))</f>
        <v/>
      </c>
      <c r="E67" s="7" t="str">
        <f>IF(Table1345[[#This Row],[Product ID]]="","",VLOOKUP(Table1345[[#This Row],[Product ID]],data,5,FALSE))</f>
        <v/>
      </c>
      <c r="F67" s="7" t="str">
        <f>IF(Table1345[[#This Row],[Product ID]]="","",SUMIFS(Stockin!F:F,Stockin!A:A,Table1345[[#This Row],[Product ID]]))</f>
        <v/>
      </c>
      <c r="G67" s="7" t="str">
        <f>IF(Table1345[[#This Row],[Product ID]]="","",SUMIFS(StockOut!G:G,StockOut!B:B,Table1345[[#This Row],[Product ID]]))</f>
        <v/>
      </c>
      <c r="H67" s="7" t="str">
        <f>IF(Table1345[[#This Row],[Product ID]]="","",SUM(Table1345[[#This Row],[Unit ]]-Table1345[[#This Row],[Selling Price]])*Table1345[[#This Row],[Transact Qty]])</f>
        <v/>
      </c>
      <c r="I67" s="10" t="str">
        <f>IF(Table1345[[#This Row],[Product ID]]="","",SUMIFS(Stockin!E:E,Stockin!A:A,Table1345[[#This Row],[Product ID]]))</f>
        <v/>
      </c>
      <c r="J67" s="10" t="str">
        <f>IF(Table1345[[#This Row],[Product ID]]="","",SUMIFS(StockOut!F:F,StockOut!B:B,Table1345[[#This Row],[Product ID]]))</f>
        <v/>
      </c>
      <c r="K67" s="10" t="str">
        <f>IF(A66="","",IF(Table1345[[#This Row],[StockonHand]]&lt;5, "Re-Order","Available"))</f>
        <v/>
      </c>
      <c r="L67" s="10" t="str">
        <f>IF(Table1345[[#This Row],[Product ID]]="","",PRODUCT(Table1345[[#This Row],[Beginning Stocks]]-Table1345[[#This Row],[Transact Qty]]))</f>
        <v/>
      </c>
    </row>
    <row r="68" spans="1:12" ht="30" customHeight="1" x14ac:dyDescent="0.3">
      <c r="A68" s="4" t="str">
        <f t="shared" si="2"/>
        <v/>
      </c>
      <c r="B68" s="4" t="str">
        <f>IF(Table1345[[#This Row],[Product ID]]="","",VLOOKUP(Table1345[[#This Row],[Product ID]],data,2,FALSE))</f>
        <v/>
      </c>
      <c r="C68" s="4" t="str">
        <f>IF(Table1345[[#This Row],[Product ID]]="","",VLOOKUP(Table1345[[#This Row],[Product ID]],data,3,FALSE))</f>
        <v/>
      </c>
      <c r="D68" s="7" t="str">
        <f>IF(Table1345[[#This Row],[Product ID]]="","",VLOOKUP(Table1345[[#This Row],[Product ID]],data,4,FALSE))</f>
        <v/>
      </c>
      <c r="E68" s="7" t="str">
        <f>IF(Table1345[[#This Row],[Product ID]]="","",VLOOKUP(Table1345[[#This Row],[Product ID]],data,5,FALSE))</f>
        <v/>
      </c>
      <c r="F68" s="7" t="str">
        <f>IF(Table1345[[#This Row],[Product ID]]="","",SUMIFS(Stockin!F:F,Stockin!A:A,Table1345[[#This Row],[Product ID]]))</f>
        <v/>
      </c>
      <c r="G68" s="7" t="str">
        <f>IF(Table1345[[#This Row],[Product ID]]="","",SUMIFS(StockOut!G:G,StockOut!B:B,Table1345[[#This Row],[Product ID]]))</f>
        <v/>
      </c>
      <c r="H68" s="7" t="str">
        <f>IF(Table1345[[#This Row],[Product ID]]="","",SUM(Table1345[[#This Row],[Unit ]]-Table1345[[#This Row],[Selling Price]])*Table1345[[#This Row],[Transact Qty]])</f>
        <v/>
      </c>
      <c r="I68" s="10" t="str">
        <f>IF(Table1345[[#This Row],[Product ID]]="","",SUMIFS(Stockin!E:E,Stockin!A:A,Table1345[[#This Row],[Product ID]]))</f>
        <v/>
      </c>
      <c r="J68" s="10" t="str">
        <f>IF(Table1345[[#This Row],[Product ID]]="","",SUMIFS(StockOut!F:F,StockOut!B:B,Table1345[[#This Row],[Product ID]]))</f>
        <v/>
      </c>
      <c r="K68" s="10" t="str">
        <f>IF(A67="","",IF(Table1345[[#This Row],[StockonHand]]&lt;5, "Re-Order","Available"))</f>
        <v/>
      </c>
      <c r="L68" s="10" t="str">
        <f>IF(Table1345[[#This Row],[Product ID]]="","",PRODUCT(Table1345[[#This Row],[Beginning Stocks]]-Table1345[[#This Row],[Transact Qty]]))</f>
        <v/>
      </c>
    </row>
    <row r="69" spans="1:12" ht="30" customHeight="1" x14ac:dyDescent="0.3">
      <c r="A69" s="4" t="str">
        <f t="shared" si="2"/>
        <v/>
      </c>
      <c r="B69" s="4" t="str">
        <f>IF(Table1345[[#This Row],[Product ID]]="","",VLOOKUP(Table1345[[#This Row],[Product ID]],data,2,FALSE))</f>
        <v/>
      </c>
      <c r="C69" s="4" t="str">
        <f>IF(Table1345[[#This Row],[Product ID]]="","",VLOOKUP(Table1345[[#This Row],[Product ID]],data,3,FALSE))</f>
        <v/>
      </c>
      <c r="D69" s="7" t="str">
        <f>IF(Table1345[[#This Row],[Product ID]]="","",VLOOKUP(Table1345[[#This Row],[Product ID]],data,4,FALSE))</f>
        <v/>
      </c>
      <c r="E69" s="7" t="str">
        <f>IF(Table1345[[#This Row],[Product ID]]="","",VLOOKUP(Table1345[[#This Row],[Product ID]],data,5,FALSE))</f>
        <v/>
      </c>
      <c r="F69" s="7" t="str">
        <f>IF(Table1345[[#This Row],[Product ID]]="","",SUMIFS(Stockin!F:F,Stockin!A:A,Table1345[[#This Row],[Product ID]]))</f>
        <v/>
      </c>
      <c r="G69" s="7" t="str">
        <f>IF(Table1345[[#This Row],[Product ID]]="","",SUMIFS(StockOut!G:G,StockOut!B:B,Table1345[[#This Row],[Product ID]]))</f>
        <v/>
      </c>
      <c r="H69" s="7" t="str">
        <f>IF(Table1345[[#This Row],[Product ID]]="","",SUM(Table1345[[#This Row],[Unit ]]-Table1345[[#This Row],[Selling Price]])*Table1345[[#This Row],[Transact Qty]])</f>
        <v/>
      </c>
      <c r="I69" s="10" t="str">
        <f>IF(Table1345[[#This Row],[Product ID]]="","",SUMIFS(Stockin!E:E,Stockin!A:A,Table1345[[#This Row],[Product ID]]))</f>
        <v/>
      </c>
      <c r="J69" s="10" t="str">
        <f>IF(Table1345[[#This Row],[Product ID]]="","",SUMIFS(StockOut!F:F,StockOut!B:B,Table1345[[#This Row],[Product ID]]))</f>
        <v/>
      </c>
      <c r="K69" s="10" t="str">
        <f>IF(A68="","",IF(Table1345[[#This Row],[StockonHand]]&lt;5, "Re-Order","Available"))</f>
        <v/>
      </c>
      <c r="L69" s="10" t="str">
        <f>IF(Table1345[[#This Row],[Product ID]]="","",PRODUCT(Table1345[[#This Row],[Beginning Stocks]]-Table1345[[#This Row],[Transact Qty]]))</f>
        <v/>
      </c>
    </row>
    <row r="70" spans="1:12" ht="30" customHeight="1" x14ac:dyDescent="0.3">
      <c r="A70" s="4" t="str">
        <f t="shared" si="2"/>
        <v/>
      </c>
      <c r="B70" s="4" t="str">
        <f>IF(Table1345[[#This Row],[Product ID]]="","",VLOOKUP(Table1345[[#This Row],[Product ID]],data,2,FALSE))</f>
        <v/>
      </c>
      <c r="C70" s="4" t="str">
        <f>IF(Table1345[[#This Row],[Product ID]]="","",VLOOKUP(Table1345[[#This Row],[Product ID]],data,3,FALSE))</f>
        <v/>
      </c>
      <c r="D70" s="7" t="str">
        <f>IF(Table1345[[#This Row],[Product ID]]="","",VLOOKUP(Table1345[[#This Row],[Product ID]],data,4,FALSE))</f>
        <v/>
      </c>
      <c r="E70" s="7" t="str">
        <f>IF(Table1345[[#This Row],[Product ID]]="","",VLOOKUP(Table1345[[#This Row],[Product ID]],data,5,FALSE))</f>
        <v/>
      </c>
      <c r="F70" s="7" t="str">
        <f>IF(Table1345[[#This Row],[Product ID]]="","",SUMIFS(Stockin!F:F,Stockin!A:A,Table1345[[#This Row],[Product ID]]))</f>
        <v/>
      </c>
      <c r="G70" s="7" t="str">
        <f>IF(Table1345[[#This Row],[Product ID]]="","",SUMIFS(StockOut!G:G,StockOut!B:B,Table1345[[#This Row],[Product ID]]))</f>
        <v/>
      </c>
      <c r="H70" s="7" t="str">
        <f>IF(Table1345[[#This Row],[Product ID]]="","",SUM(Table1345[[#This Row],[Unit ]]-Table1345[[#This Row],[Selling Price]])*Table1345[[#This Row],[Transact Qty]])</f>
        <v/>
      </c>
      <c r="I70" s="10" t="str">
        <f>IF(Table1345[[#This Row],[Product ID]]="","",SUMIFS(Stockin!E:E,Stockin!A:A,Table1345[[#This Row],[Product ID]]))</f>
        <v/>
      </c>
      <c r="J70" s="10" t="str">
        <f>IF(Table1345[[#This Row],[Product ID]]="","",SUMIFS(StockOut!F:F,StockOut!B:B,Table1345[[#This Row],[Product ID]]))</f>
        <v/>
      </c>
      <c r="K70" s="10" t="str">
        <f>IF(A69="","",IF(Table1345[[#This Row],[StockonHand]]&lt;5, "Re-Order","Available"))</f>
        <v/>
      </c>
      <c r="L70" s="10" t="str">
        <f>IF(Table1345[[#This Row],[Product ID]]="","",PRODUCT(Table1345[[#This Row],[Beginning Stocks]]-Table1345[[#This Row],[Transact Qty]]))</f>
        <v/>
      </c>
    </row>
    <row r="71" spans="1:12" ht="30" customHeight="1" x14ac:dyDescent="0.3">
      <c r="A71" s="4" t="str">
        <f t="shared" si="2"/>
        <v/>
      </c>
      <c r="B71" s="4" t="str">
        <f>IF(Table1345[[#This Row],[Product ID]]="","",VLOOKUP(Table1345[[#This Row],[Product ID]],data,2,FALSE))</f>
        <v/>
      </c>
      <c r="C71" s="4" t="str">
        <f>IF(Table1345[[#This Row],[Product ID]]="","",VLOOKUP(Table1345[[#This Row],[Product ID]],data,3,FALSE))</f>
        <v/>
      </c>
      <c r="D71" s="7" t="str">
        <f>IF(Table1345[[#This Row],[Product ID]]="","",VLOOKUP(Table1345[[#This Row],[Product ID]],data,4,FALSE))</f>
        <v/>
      </c>
      <c r="E71" s="7" t="str">
        <f>IF(Table1345[[#This Row],[Product ID]]="","",VLOOKUP(Table1345[[#This Row],[Product ID]],data,5,FALSE))</f>
        <v/>
      </c>
      <c r="F71" s="7" t="str">
        <f>IF(Table1345[[#This Row],[Product ID]]="","",SUMIFS(Stockin!F:F,Stockin!A:A,Table1345[[#This Row],[Product ID]]))</f>
        <v/>
      </c>
      <c r="G71" s="7" t="str">
        <f>IF(Table1345[[#This Row],[Product ID]]="","",SUMIFS(StockOut!G:G,StockOut!B:B,Table1345[[#This Row],[Product ID]]))</f>
        <v/>
      </c>
      <c r="H71" s="7" t="str">
        <f>IF(Table1345[[#This Row],[Product ID]]="","",SUM(Table1345[[#This Row],[Unit ]]-Table1345[[#This Row],[Selling Price]])*Table1345[[#This Row],[Transact Qty]])</f>
        <v/>
      </c>
      <c r="I71" s="10" t="str">
        <f>IF(Table1345[[#This Row],[Product ID]]="","",SUMIFS(Stockin!E:E,Stockin!A:A,Table1345[[#This Row],[Product ID]]))</f>
        <v/>
      </c>
      <c r="J71" s="10" t="str">
        <f>IF(Table1345[[#This Row],[Product ID]]="","",SUMIFS(StockOut!F:F,StockOut!B:B,Table1345[[#This Row],[Product ID]]))</f>
        <v/>
      </c>
      <c r="K71" s="10" t="str">
        <f>IF(A70="","",IF(Table1345[[#This Row],[StockonHand]]&lt;5, "Re-Order","Available"))</f>
        <v/>
      </c>
      <c r="L71" s="10" t="str">
        <f>IF(Table1345[[#This Row],[Product ID]]="","",PRODUCT(Table1345[[#This Row],[Beginning Stocks]]-Table1345[[#This Row],[Transact Qty]]))</f>
        <v/>
      </c>
    </row>
    <row r="72" spans="1:12" ht="30" customHeight="1" x14ac:dyDescent="0.3">
      <c r="A72" s="4" t="str">
        <f t="shared" si="2"/>
        <v/>
      </c>
      <c r="B72" s="4" t="str">
        <f>IF(Table1345[[#This Row],[Product ID]]="","",VLOOKUP(Table1345[[#This Row],[Product ID]],data,2,FALSE))</f>
        <v/>
      </c>
      <c r="C72" s="4" t="str">
        <f>IF(Table1345[[#This Row],[Product ID]]="","",VLOOKUP(Table1345[[#This Row],[Product ID]],data,3,FALSE))</f>
        <v/>
      </c>
      <c r="D72" s="7" t="str">
        <f>IF(Table1345[[#This Row],[Product ID]]="","",VLOOKUP(Table1345[[#This Row],[Product ID]],data,4,FALSE))</f>
        <v/>
      </c>
      <c r="E72" s="7" t="str">
        <f>IF(Table1345[[#This Row],[Product ID]]="","",VLOOKUP(Table1345[[#This Row],[Product ID]],data,5,FALSE))</f>
        <v/>
      </c>
      <c r="F72" s="7" t="str">
        <f>IF(Table1345[[#This Row],[Product ID]]="","",SUMIFS(Stockin!F:F,Stockin!A:A,Table1345[[#This Row],[Product ID]]))</f>
        <v/>
      </c>
      <c r="G72" s="7" t="str">
        <f>IF(Table1345[[#This Row],[Product ID]]="","",SUMIFS(StockOut!G:G,StockOut!B:B,Table1345[[#This Row],[Product ID]]))</f>
        <v/>
      </c>
      <c r="H72" s="7" t="str">
        <f>IF(Table1345[[#This Row],[Product ID]]="","",SUM(Table1345[[#This Row],[Unit ]]-Table1345[[#This Row],[Selling Price]])*Table1345[[#This Row],[Transact Qty]])</f>
        <v/>
      </c>
      <c r="I72" s="10" t="str">
        <f>IF(Table1345[[#This Row],[Product ID]]="","",SUMIFS(Stockin!E:E,Stockin!A:A,Table1345[[#This Row],[Product ID]]))</f>
        <v/>
      </c>
      <c r="J72" s="10" t="str">
        <f>IF(Table1345[[#This Row],[Product ID]]="","",SUMIFS(StockOut!F:F,StockOut!B:B,Table1345[[#This Row],[Product ID]]))</f>
        <v/>
      </c>
      <c r="K72" s="10" t="str">
        <f>IF(A71="","",IF(Table1345[[#This Row],[StockonHand]]&lt;5, "Re-Order","Available"))</f>
        <v/>
      </c>
      <c r="L72" s="10" t="str">
        <f>IF(Table1345[[#This Row],[Product ID]]="","",PRODUCT(Table1345[[#This Row],[Beginning Stocks]]-Table1345[[#This Row],[Transact Qty]]))</f>
        <v/>
      </c>
    </row>
    <row r="73" spans="1:12" ht="30" customHeight="1" x14ac:dyDescent="0.3">
      <c r="A73" s="4" t="str">
        <f t="shared" si="2"/>
        <v/>
      </c>
      <c r="B73" s="4" t="str">
        <f>IF(Table1345[[#This Row],[Product ID]]="","",VLOOKUP(Table1345[[#This Row],[Product ID]],data,2,FALSE))</f>
        <v/>
      </c>
      <c r="C73" s="4" t="str">
        <f>IF(Table1345[[#This Row],[Product ID]]="","",VLOOKUP(Table1345[[#This Row],[Product ID]],data,3,FALSE))</f>
        <v/>
      </c>
      <c r="D73" s="7" t="str">
        <f>IF(Table1345[[#This Row],[Product ID]]="","",VLOOKUP(Table1345[[#This Row],[Product ID]],data,4,FALSE))</f>
        <v/>
      </c>
      <c r="E73" s="7" t="str">
        <f>IF(Table1345[[#This Row],[Product ID]]="","",VLOOKUP(Table1345[[#This Row],[Product ID]],data,5,FALSE))</f>
        <v/>
      </c>
      <c r="F73" s="7" t="str">
        <f>IF(Table1345[[#This Row],[Product ID]]="","",SUMIFS(Stockin!F:F,Stockin!A:A,Table1345[[#This Row],[Product ID]]))</f>
        <v/>
      </c>
      <c r="G73" s="7" t="str">
        <f>IF(Table1345[[#This Row],[Product ID]]="","",SUMIFS(StockOut!G:G,StockOut!B:B,Table1345[[#This Row],[Product ID]]))</f>
        <v/>
      </c>
      <c r="H73" s="7" t="str">
        <f>IF(Table1345[[#This Row],[Product ID]]="","",SUM(Table1345[[#This Row],[Unit ]]-Table1345[[#This Row],[Selling Price]])*Table1345[[#This Row],[Transact Qty]])</f>
        <v/>
      </c>
      <c r="I73" s="10" t="str">
        <f>IF(Table1345[[#This Row],[Product ID]]="","",SUMIFS(Stockin!E:E,Stockin!A:A,Table1345[[#This Row],[Product ID]]))</f>
        <v/>
      </c>
      <c r="J73" s="10" t="str">
        <f>IF(Table1345[[#This Row],[Product ID]]="","",SUMIFS(StockOut!F:F,StockOut!B:B,Table1345[[#This Row],[Product ID]]))</f>
        <v/>
      </c>
      <c r="K73" s="10" t="str">
        <f>IF(A72="","",IF(Table1345[[#This Row],[StockonHand]]&lt;5, "Re-Order","Available"))</f>
        <v/>
      </c>
      <c r="L73" s="10" t="str">
        <f>IF(Table1345[[#This Row],[Product ID]]="","",PRODUCT(Table1345[[#This Row],[Beginning Stocks]]-Table1345[[#This Row],[Transact Qty]]))</f>
        <v/>
      </c>
    </row>
    <row r="74" spans="1:12" ht="30" customHeight="1" x14ac:dyDescent="0.3">
      <c r="A74" s="4" t="str">
        <f t="shared" si="2"/>
        <v/>
      </c>
      <c r="B74" s="4" t="str">
        <f>IF(Table1345[[#This Row],[Product ID]]="","",VLOOKUP(Table1345[[#This Row],[Product ID]],data,2,FALSE))</f>
        <v/>
      </c>
      <c r="C74" s="4" t="str">
        <f>IF(Table1345[[#This Row],[Product ID]]="","",VLOOKUP(Table1345[[#This Row],[Product ID]],data,3,FALSE))</f>
        <v/>
      </c>
      <c r="D74" s="7" t="str">
        <f>IF(Table1345[[#This Row],[Product ID]]="","",VLOOKUP(Table1345[[#This Row],[Product ID]],data,4,FALSE))</f>
        <v/>
      </c>
      <c r="E74" s="7" t="str">
        <f>IF(Table1345[[#This Row],[Product ID]]="","",VLOOKUP(Table1345[[#This Row],[Product ID]],data,5,FALSE))</f>
        <v/>
      </c>
      <c r="F74" s="7" t="str">
        <f>IF(Table1345[[#This Row],[Product ID]]="","",SUMIFS(Stockin!F:F,Stockin!A:A,Table1345[[#This Row],[Product ID]]))</f>
        <v/>
      </c>
      <c r="G74" s="7" t="str">
        <f>IF(Table1345[[#This Row],[Product ID]]="","",SUMIFS(StockOut!G:G,StockOut!B:B,Table1345[[#This Row],[Product ID]]))</f>
        <v/>
      </c>
      <c r="H74" s="7" t="str">
        <f>IF(Table1345[[#This Row],[Product ID]]="","",SUM(Table1345[[#This Row],[Unit ]]-Table1345[[#This Row],[Selling Price]])*Table1345[[#This Row],[Transact Qty]])</f>
        <v/>
      </c>
      <c r="I74" s="10" t="str">
        <f>IF(Table1345[[#This Row],[Product ID]]="","",SUMIFS(Stockin!E:E,Stockin!A:A,Table1345[[#This Row],[Product ID]]))</f>
        <v/>
      </c>
      <c r="J74" s="10" t="str">
        <f>IF(Table1345[[#This Row],[Product ID]]="","",SUMIFS(StockOut!F:F,StockOut!B:B,Table1345[[#This Row],[Product ID]]))</f>
        <v/>
      </c>
      <c r="K74" s="10" t="str">
        <f>IF(A73="","",IF(Table1345[[#This Row],[StockonHand]]&lt;5, "Re-Order","Available"))</f>
        <v/>
      </c>
      <c r="L74" s="10" t="str">
        <f>IF(Table1345[[#This Row],[Product ID]]="","",PRODUCT(Table1345[[#This Row],[Beginning Stocks]]-Table1345[[#This Row],[Transact Qty]]))</f>
        <v/>
      </c>
    </row>
    <row r="75" spans="1:12" ht="30" customHeight="1" x14ac:dyDescent="0.3">
      <c r="A75" s="4" t="str">
        <f t="shared" si="2"/>
        <v/>
      </c>
      <c r="B75" s="4" t="str">
        <f>IF(Table1345[[#This Row],[Product ID]]="","",VLOOKUP(Table1345[[#This Row],[Product ID]],data,2,FALSE))</f>
        <v/>
      </c>
      <c r="C75" s="4" t="str">
        <f>IF(Table1345[[#This Row],[Product ID]]="","",VLOOKUP(Table1345[[#This Row],[Product ID]],data,3,FALSE))</f>
        <v/>
      </c>
      <c r="D75" s="7" t="str">
        <f>IF(Table1345[[#This Row],[Product ID]]="","",VLOOKUP(Table1345[[#This Row],[Product ID]],data,4,FALSE))</f>
        <v/>
      </c>
      <c r="E75" s="7" t="str">
        <f>IF(Table1345[[#This Row],[Product ID]]="","",VLOOKUP(Table1345[[#This Row],[Product ID]],data,5,FALSE))</f>
        <v/>
      </c>
      <c r="F75" s="7" t="str">
        <f>IF(Table1345[[#This Row],[Product ID]]="","",SUMIFS(Stockin!F:F,Stockin!A:A,Table1345[[#This Row],[Product ID]]))</f>
        <v/>
      </c>
      <c r="G75" s="7" t="str">
        <f>IF(Table1345[[#This Row],[Product ID]]="","",SUMIFS(StockOut!G:G,StockOut!B:B,Table1345[[#This Row],[Product ID]]))</f>
        <v/>
      </c>
      <c r="H75" s="7" t="str">
        <f>IF(Table1345[[#This Row],[Product ID]]="","",SUM(Table1345[[#This Row],[Unit ]]-Table1345[[#This Row],[Selling Price]])*Table1345[[#This Row],[Transact Qty]])</f>
        <v/>
      </c>
      <c r="I75" s="10" t="str">
        <f>IF(Table1345[[#This Row],[Product ID]]="","",SUMIFS(Stockin!E:E,Stockin!A:A,Table1345[[#This Row],[Product ID]]))</f>
        <v/>
      </c>
      <c r="J75" s="10" t="str">
        <f>IF(Table1345[[#This Row],[Product ID]]="","",SUMIFS(StockOut!F:F,StockOut!B:B,Table1345[[#This Row],[Product ID]]))</f>
        <v/>
      </c>
      <c r="K75" s="10" t="str">
        <f>IF(A74="","",IF(Table1345[[#This Row],[StockonHand]]&lt;5, "Re-Order","Available"))</f>
        <v/>
      </c>
      <c r="L75" s="10" t="str">
        <f>IF(Table1345[[#This Row],[Product ID]]="","",PRODUCT(Table1345[[#This Row],[Beginning Stocks]]-Table1345[[#This Row],[Transact Qty]]))</f>
        <v/>
      </c>
    </row>
    <row r="76" spans="1:12" ht="30" customHeight="1" x14ac:dyDescent="0.3">
      <c r="A76" s="4" t="str">
        <f t="shared" si="2"/>
        <v/>
      </c>
      <c r="B76" s="4" t="str">
        <f>IF(Table1345[[#This Row],[Product ID]]="","",VLOOKUP(Table1345[[#This Row],[Product ID]],data,2,FALSE))</f>
        <v/>
      </c>
      <c r="C76" s="4" t="str">
        <f>IF(Table1345[[#This Row],[Product ID]]="","",VLOOKUP(Table1345[[#This Row],[Product ID]],data,3,FALSE))</f>
        <v/>
      </c>
      <c r="D76" s="7" t="str">
        <f>IF(Table1345[[#This Row],[Product ID]]="","",VLOOKUP(Table1345[[#This Row],[Product ID]],data,4,FALSE))</f>
        <v/>
      </c>
      <c r="E76" s="7" t="str">
        <f>IF(Table1345[[#This Row],[Product ID]]="","",VLOOKUP(Table1345[[#This Row],[Product ID]],data,5,FALSE))</f>
        <v/>
      </c>
      <c r="F76" s="7" t="str">
        <f>IF(Table1345[[#This Row],[Product ID]]="","",SUMIFS(Stockin!F:F,Stockin!A:A,Table1345[[#This Row],[Product ID]]))</f>
        <v/>
      </c>
      <c r="G76" s="7" t="str">
        <f>IF(Table1345[[#This Row],[Product ID]]="","",SUMIFS(StockOut!G:G,StockOut!B:B,Table1345[[#This Row],[Product ID]]))</f>
        <v/>
      </c>
      <c r="H76" s="7" t="str">
        <f>IF(Table1345[[#This Row],[Product ID]]="","",SUM(Table1345[[#This Row],[Unit ]]-Table1345[[#This Row],[Selling Price]])*Table1345[[#This Row],[Transact Qty]])</f>
        <v/>
      </c>
      <c r="I76" s="10" t="str">
        <f>IF(Table1345[[#This Row],[Product ID]]="","",SUMIFS(Stockin!E:E,Stockin!A:A,Table1345[[#This Row],[Product ID]]))</f>
        <v/>
      </c>
      <c r="J76" s="10" t="str">
        <f>IF(Table1345[[#This Row],[Product ID]]="","",SUMIFS(StockOut!F:F,StockOut!B:B,Table1345[[#This Row],[Product ID]]))</f>
        <v/>
      </c>
      <c r="K76" s="10" t="str">
        <f>IF(A75="","",IF(Table1345[[#This Row],[StockonHand]]&lt;5, "Re-Order","Available"))</f>
        <v/>
      </c>
      <c r="L76" s="10" t="str">
        <f>IF(Table1345[[#This Row],[Product ID]]="","",PRODUCT(Table1345[[#This Row],[Beginning Stocks]]-Table1345[[#This Row],[Transact Qty]]))</f>
        <v/>
      </c>
    </row>
    <row r="77" spans="1:12" ht="30" customHeight="1" x14ac:dyDescent="0.3">
      <c r="A77" s="4" t="str">
        <f t="shared" si="2"/>
        <v/>
      </c>
      <c r="B77" s="4" t="str">
        <f>IF(Table1345[[#This Row],[Product ID]]="","",VLOOKUP(Table1345[[#This Row],[Product ID]],data,2,FALSE))</f>
        <v/>
      </c>
      <c r="C77" s="4" t="str">
        <f>IF(Table1345[[#This Row],[Product ID]]="","",VLOOKUP(Table1345[[#This Row],[Product ID]],data,3,FALSE))</f>
        <v/>
      </c>
      <c r="D77" s="7" t="str">
        <f>IF(Table1345[[#This Row],[Product ID]]="","",VLOOKUP(Table1345[[#This Row],[Product ID]],data,4,FALSE))</f>
        <v/>
      </c>
      <c r="E77" s="7" t="str">
        <f>IF(Table1345[[#This Row],[Product ID]]="","",VLOOKUP(Table1345[[#This Row],[Product ID]],data,5,FALSE))</f>
        <v/>
      </c>
      <c r="F77" s="7" t="str">
        <f>IF(Table1345[[#This Row],[Product ID]]="","",SUMIFS(Stockin!F:F,Stockin!A:A,Table1345[[#This Row],[Product ID]]))</f>
        <v/>
      </c>
      <c r="G77" s="7" t="str">
        <f>IF(Table1345[[#This Row],[Product ID]]="","",SUMIFS(StockOut!G:G,StockOut!B:B,Table1345[[#This Row],[Product ID]]))</f>
        <v/>
      </c>
      <c r="H77" s="7" t="str">
        <f>IF(Table1345[[#This Row],[Product ID]]="","",SUM(Table1345[[#This Row],[Unit ]]-Table1345[[#This Row],[Selling Price]])*Table1345[[#This Row],[Transact Qty]])</f>
        <v/>
      </c>
      <c r="I77" s="10" t="str">
        <f>IF(Table1345[[#This Row],[Product ID]]="","",SUMIFS(Stockin!E:E,Stockin!A:A,Table1345[[#This Row],[Product ID]]))</f>
        <v/>
      </c>
      <c r="J77" s="10" t="str">
        <f>IF(Table1345[[#This Row],[Product ID]]="","",SUMIFS(StockOut!F:F,StockOut!B:B,Table1345[[#This Row],[Product ID]]))</f>
        <v/>
      </c>
      <c r="K77" s="10" t="str">
        <f>IF(A76="","",IF(Table1345[[#This Row],[StockonHand]]&lt;5, "Re-Order","Available"))</f>
        <v/>
      </c>
      <c r="L77" s="10" t="str">
        <f>IF(Table1345[[#This Row],[Product ID]]="","",PRODUCT(Table1345[[#This Row],[Beginning Stocks]]-Table1345[[#This Row],[Transact Qty]]))</f>
        <v/>
      </c>
    </row>
    <row r="78" spans="1:12" ht="30" customHeight="1" x14ac:dyDescent="0.3">
      <c r="A78" s="4" t="str">
        <f t="shared" si="2"/>
        <v/>
      </c>
      <c r="B78" s="4" t="str">
        <f>IF(Table1345[[#This Row],[Product ID]]="","",VLOOKUP(Table1345[[#This Row],[Product ID]],data,2,FALSE))</f>
        <v/>
      </c>
      <c r="C78" s="4" t="str">
        <f>IF(Table1345[[#This Row],[Product ID]]="","",VLOOKUP(Table1345[[#This Row],[Product ID]],data,3,FALSE))</f>
        <v/>
      </c>
      <c r="D78" s="7" t="str">
        <f>IF(Table1345[[#This Row],[Product ID]]="","",VLOOKUP(Table1345[[#This Row],[Product ID]],data,4,FALSE))</f>
        <v/>
      </c>
      <c r="E78" s="7" t="str">
        <f>IF(Table1345[[#This Row],[Product ID]]="","",VLOOKUP(Table1345[[#This Row],[Product ID]],data,5,FALSE))</f>
        <v/>
      </c>
      <c r="F78" s="7" t="str">
        <f>IF(Table1345[[#This Row],[Product ID]]="","",SUMIFS(Stockin!F:F,Stockin!A:A,Table1345[[#This Row],[Product ID]]))</f>
        <v/>
      </c>
      <c r="G78" s="7" t="str">
        <f>IF(Table1345[[#This Row],[Product ID]]="","",SUMIFS(StockOut!G:G,StockOut!B:B,Table1345[[#This Row],[Product ID]]))</f>
        <v/>
      </c>
      <c r="H78" s="7" t="str">
        <f>IF(Table1345[[#This Row],[Product ID]]="","",SUM(Table1345[[#This Row],[Unit ]]-Table1345[[#This Row],[Selling Price]])*Table1345[[#This Row],[Transact Qty]])</f>
        <v/>
      </c>
      <c r="I78" s="10" t="str">
        <f>IF(Table1345[[#This Row],[Product ID]]="","",SUMIFS(Stockin!E:E,Stockin!A:A,Table1345[[#This Row],[Product ID]]))</f>
        <v/>
      </c>
      <c r="J78" s="10" t="str">
        <f>IF(Table1345[[#This Row],[Product ID]]="","",SUMIFS(StockOut!F:F,StockOut!B:B,Table1345[[#This Row],[Product ID]]))</f>
        <v/>
      </c>
      <c r="K78" s="10" t="str">
        <f>IF(A77="","",IF(Table1345[[#This Row],[StockonHand]]&lt;5, "Re-Order","Available"))</f>
        <v/>
      </c>
      <c r="L78" s="10" t="str">
        <f>IF(Table1345[[#This Row],[Product ID]]="","",PRODUCT(Table1345[[#This Row],[Beginning Stocks]]-Table1345[[#This Row],[Transact Qty]]))</f>
        <v/>
      </c>
    </row>
    <row r="79" spans="1:12" ht="30" customHeight="1" x14ac:dyDescent="0.3">
      <c r="A79" s="4" t="str">
        <f t="shared" si="2"/>
        <v/>
      </c>
      <c r="B79" s="4" t="str">
        <f>IF(Table1345[[#This Row],[Product ID]]="","",VLOOKUP(Table1345[[#This Row],[Product ID]],data,2,FALSE))</f>
        <v/>
      </c>
      <c r="C79" s="4" t="str">
        <f>IF(Table1345[[#This Row],[Product ID]]="","",VLOOKUP(Table1345[[#This Row],[Product ID]],data,3,FALSE))</f>
        <v/>
      </c>
      <c r="D79" s="7" t="str">
        <f>IF(Table1345[[#This Row],[Product ID]]="","",VLOOKUP(Table1345[[#This Row],[Product ID]],data,4,FALSE))</f>
        <v/>
      </c>
      <c r="E79" s="7" t="str">
        <f>IF(Table1345[[#This Row],[Product ID]]="","",VLOOKUP(Table1345[[#This Row],[Product ID]],data,5,FALSE))</f>
        <v/>
      </c>
      <c r="F79" s="7" t="str">
        <f>IF(Table1345[[#This Row],[Product ID]]="","",SUMIFS(Stockin!F:F,Stockin!A:A,Table1345[[#This Row],[Product ID]]))</f>
        <v/>
      </c>
      <c r="G79" s="7" t="str">
        <f>IF(Table1345[[#This Row],[Product ID]]="","",SUMIFS(StockOut!G:G,StockOut!B:B,Table1345[[#This Row],[Product ID]]))</f>
        <v/>
      </c>
      <c r="H79" s="7" t="str">
        <f>IF(Table1345[[#This Row],[Product ID]]="","",SUM(Table1345[[#This Row],[Unit ]]-Table1345[[#This Row],[Selling Price]])*Table1345[[#This Row],[Transact Qty]])</f>
        <v/>
      </c>
      <c r="I79" s="10" t="str">
        <f>IF(Table1345[[#This Row],[Product ID]]="","",SUMIFS(Stockin!E:E,Stockin!A:A,Table1345[[#This Row],[Product ID]]))</f>
        <v/>
      </c>
      <c r="J79" s="10" t="str">
        <f>IF(Table1345[[#This Row],[Product ID]]="","",SUMIFS(StockOut!F:F,StockOut!B:B,Table1345[[#This Row],[Product ID]]))</f>
        <v/>
      </c>
      <c r="K79" s="10" t="str">
        <f>IF(A78="","",IF(Table1345[[#This Row],[StockonHand]]&lt;5, "Re-Order","Available"))</f>
        <v/>
      </c>
      <c r="L79" s="10" t="str">
        <f>IF(Table1345[[#This Row],[Product ID]]="","",PRODUCT(Table1345[[#This Row],[Beginning Stocks]]-Table1345[[#This Row],[Transact Qty]]))</f>
        <v/>
      </c>
    </row>
    <row r="80" spans="1:12" ht="30" customHeight="1" x14ac:dyDescent="0.3">
      <c r="A80" s="4" t="str">
        <f t="shared" si="2"/>
        <v/>
      </c>
      <c r="B80" s="4" t="str">
        <f>IF(Table1345[[#This Row],[Product ID]]="","",VLOOKUP(Table1345[[#This Row],[Product ID]],data,2,FALSE))</f>
        <v/>
      </c>
      <c r="C80" s="4" t="str">
        <f>IF(Table1345[[#This Row],[Product ID]]="","",VLOOKUP(Table1345[[#This Row],[Product ID]],data,3,FALSE))</f>
        <v/>
      </c>
      <c r="D80" s="7" t="str">
        <f>IF(Table1345[[#This Row],[Product ID]]="","",VLOOKUP(Table1345[[#This Row],[Product ID]],data,4,FALSE))</f>
        <v/>
      </c>
      <c r="E80" s="7" t="str">
        <f>IF(Table1345[[#This Row],[Product ID]]="","",VLOOKUP(Table1345[[#This Row],[Product ID]],data,5,FALSE))</f>
        <v/>
      </c>
      <c r="F80" s="7" t="str">
        <f>IF(Table1345[[#This Row],[Product ID]]="","",SUMIFS(Stockin!F:F,Stockin!A:A,Table1345[[#This Row],[Product ID]]))</f>
        <v/>
      </c>
      <c r="G80" s="7" t="str">
        <f>IF(Table1345[[#This Row],[Product ID]]="","",SUMIFS(StockOut!G:G,StockOut!B:B,Table1345[[#This Row],[Product ID]]))</f>
        <v/>
      </c>
      <c r="H80" s="7" t="str">
        <f>IF(Table1345[[#This Row],[Product ID]]="","",SUM(Table1345[[#This Row],[Unit ]]-Table1345[[#This Row],[Selling Price]])*Table1345[[#This Row],[Transact Qty]])</f>
        <v/>
      </c>
      <c r="I80" s="10" t="str">
        <f>IF(Table1345[[#This Row],[Product ID]]="","",SUMIFS(Stockin!E:E,Stockin!A:A,Table1345[[#This Row],[Product ID]]))</f>
        <v/>
      </c>
      <c r="J80" s="10" t="str">
        <f>IF(Table1345[[#This Row],[Product ID]]="","",SUMIFS(StockOut!F:F,StockOut!B:B,Table1345[[#This Row],[Product ID]]))</f>
        <v/>
      </c>
      <c r="K80" s="10" t="str">
        <f>IF(A79="","",IF(Table1345[[#This Row],[StockonHand]]&lt;5, "Re-Order","Available"))</f>
        <v/>
      </c>
      <c r="L80" s="10" t="str">
        <f>IF(Table1345[[#This Row],[Product ID]]="","",PRODUCT(Table1345[[#This Row],[Beginning Stocks]]-Table1345[[#This Row],[Transact Qty]]))</f>
        <v/>
      </c>
    </row>
    <row r="81" spans="1:12" ht="30" customHeight="1" x14ac:dyDescent="0.3">
      <c r="A81" s="4" t="str">
        <f t="shared" si="2"/>
        <v/>
      </c>
      <c r="B81" s="4" t="str">
        <f>IF(Table1345[[#This Row],[Product ID]]="","",VLOOKUP(Table1345[[#This Row],[Product ID]],data,2,FALSE))</f>
        <v/>
      </c>
      <c r="C81" s="4" t="str">
        <f>IF(Table1345[[#This Row],[Product ID]]="","",VLOOKUP(Table1345[[#This Row],[Product ID]],data,3,FALSE))</f>
        <v/>
      </c>
      <c r="D81" s="7" t="str">
        <f>IF(Table1345[[#This Row],[Product ID]]="","",VLOOKUP(Table1345[[#This Row],[Product ID]],data,4,FALSE))</f>
        <v/>
      </c>
      <c r="E81" s="7" t="str">
        <f>IF(Table1345[[#This Row],[Product ID]]="","",VLOOKUP(Table1345[[#This Row],[Product ID]],data,5,FALSE))</f>
        <v/>
      </c>
      <c r="F81" s="7" t="str">
        <f>IF(Table1345[[#This Row],[Product ID]]="","",SUMIFS(Stockin!F:F,Stockin!A:A,Table1345[[#This Row],[Product ID]]))</f>
        <v/>
      </c>
      <c r="G81" s="7" t="str">
        <f>IF(Table1345[[#This Row],[Product ID]]="","",SUMIFS(StockOut!G:G,StockOut!B:B,Table1345[[#This Row],[Product ID]]))</f>
        <v/>
      </c>
      <c r="H81" s="7" t="str">
        <f>IF(Table1345[[#This Row],[Product ID]]="","",SUM(Table1345[[#This Row],[Unit ]]-Table1345[[#This Row],[Selling Price]])*Table1345[[#This Row],[Transact Qty]])</f>
        <v/>
      </c>
      <c r="I81" s="10" t="str">
        <f>IF(Table1345[[#This Row],[Product ID]]="","",SUMIFS(Stockin!E:E,Stockin!A:A,Table1345[[#This Row],[Product ID]]))</f>
        <v/>
      </c>
      <c r="J81" s="10" t="str">
        <f>IF(Table1345[[#This Row],[Product ID]]="","",SUMIFS(StockOut!F:F,StockOut!B:B,Table1345[[#This Row],[Product ID]]))</f>
        <v/>
      </c>
      <c r="K81" s="10" t="str">
        <f>IF(A80="","",IF(Table1345[[#This Row],[StockonHand]]&lt;5, "Re-Order","Available"))</f>
        <v/>
      </c>
      <c r="L81" s="10" t="str">
        <f>IF(Table1345[[#This Row],[Product ID]]="","",PRODUCT(Table1345[[#This Row],[Beginning Stocks]]-Table1345[[#This Row],[Transact Qty]]))</f>
        <v/>
      </c>
    </row>
    <row r="82" spans="1:12" ht="30" customHeight="1" x14ac:dyDescent="0.3">
      <c r="A82" s="4" t="str">
        <f t="shared" si="2"/>
        <v/>
      </c>
      <c r="B82" s="4" t="str">
        <f>IF(Table1345[[#This Row],[Product ID]]="","",VLOOKUP(Table1345[[#This Row],[Product ID]],data,2,FALSE))</f>
        <v/>
      </c>
      <c r="C82" s="4" t="str">
        <f>IF(Table1345[[#This Row],[Product ID]]="","",VLOOKUP(Table1345[[#This Row],[Product ID]],data,3,FALSE))</f>
        <v/>
      </c>
      <c r="D82" s="7" t="str">
        <f>IF(Table1345[[#This Row],[Product ID]]="","",VLOOKUP(Table1345[[#This Row],[Product ID]],data,4,FALSE))</f>
        <v/>
      </c>
      <c r="E82" s="7" t="str">
        <f>IF(Table1345[[#This Row],[Product ID]]="","",VLOOKUP(Table1345[[#This Row],[Product ID]],data,5,FALSE))</f>
        <v/>
      </c>
      <c r="F82" s="7" t="str">
        <f>IF(Table1345[[#This Row],[Product ID]]="","",SUMIFS(Stockin!F:F,Stockin!A:A,Table1345[[#This Row],[Product ID]]))</f>
        <v/>
      </c>
      <c r="G82" s="7" t="str">
        <f>IF(Table1345[[#This Row],[Product ID]]="","",SUMIFS(StockOut!G:G,StockOut!B:B,Table1345[[#This Row],[Product ID]]))</f>
        <v/>
      </c>
      <c r="H82" s="7" t="str">
        <f>IF(Table1345[[#This Row],[Product ID]]="","",SUM(Table1345[[#This Row],[Unit ]]-Table1345[[#This Row],[Selling Price]])*Table1345[[#This Row],[Transact Qty]])</f>
        <v/>
      </c>
      <c r="I82" s="10" t="str">
        <f>IF(Table1345[[#This Row],[Product ID]]="","",SUMIFS(Stockin!E:E,Stockin!A:A,Table1345[[#This Row],[Product ID]]))</f>
        <v/>
      </c>
      <c r="J82" s="10" t="str">
        <f>IF(Table1345[[#This Row],[Product ID]]="","",SUMIFS(StockOut!F:F,StockOut!B:B,Table1345[[#This Row],[Product ID]]))</f>
        <v/>
      </c>
      <c r="K82" s="10" t="str">
        <f>IF(A81="","",IF(Table1345[[#This Row],[StockonHand]]&lt;5, "Re-Order","Available"))</f>
        <v/>
      </c>
      <c r="L82" s="10" t="str">
        <f>IF(Table1345[[#This Row],[Product ID]]="","",PRODUCT(Table1345[[#This Row],[Beginning Stocks]]-Table1345[[#This Row],[Transact Qty]]))</f>
        <v/>
      </c>
    </row>
    <row r="83" spans="1:12" ht="30" customHeight="1" x14ac:dyDescent="0.3">
      <c r="A83" s="4" t="str">
        <f t="shared" si="2"/>
        <v/>
      </c>
      <c r="B83" s="4" t="str">
        <f>IF(Table1345[[#This Row],[Product ID]]="","",VLOOKUP(Table1345[[#This Row],[Product ID]],data,2,FALSE))</f>
        <v/>
      </c>
      <c r="C83" s="4" t="str">
        <f>IF(Table1345[[#This Row],[Product ID]]="","",VLOOKUP(Table1345[[#This Row],[Product ID]],data,3,FALSE))</f>
        <v/>
      </c>
      <c r="D83" s="7" t="str">
        <f>IF(Table1345[[#This Row],[Product ID]]="","",VLOOKUP(Table1345[[#This Row],[Product ID]],data,4,FALSE))</f>
        <v/>
      </c>
      <c r="E83" s="7" t="str">
        <f>IF(Table1345[[#This Row],[Product ID]]="","",VLOOKUP(Table1345[[#This Row],[Product ID]],data,5,FALSE))</f>
        <v/>
      </c>
      <c r="F83" s="7" t="str">
        <f>IF(Table1345[[#This Row],[Product ID]]="","",SUMIFS(Stockin!F:F,Stockin!A:A,Table1345[[#This Row],[Product ID]]))</f>
        <v/>
      </c>
      <c r="G83" s="7" t="str">
        <f>IF(Table1345[[#This Row],[Product ID]]="","",SUMIFS(StockOut!G:G,StockOut!B:B,Table1345[[#This Row],[Product ID]]))</f>
        <v/>
      </c>
      <c r="H83" s="7" t="str">
        <f>IF(Table1345[[#This Row],[Product ID]]="","",SUM(Table1345[[#This Row],[Unit ]]-Table1345[[#This Row],[Selling Price]])*Table1345[[#This Row],[Transact Qty]])</f>
        <v/>
      </c>
      <c r="I83" s="10" t="str">
        <f>IF(Table1345[[#This Row],[Product ID]]="","",SUMIFS(Stockin!E:E,Stockin!A:A,Table1345[[#This Row],[Product ID]]))</f>
        <v/>
      </c>
      <c r="J83" s="10" t="str">
        <f>IF(Table1345[[#This Row],[Product ID]]="","",SUMIFS(StockOut!F:F,StockOut!B:B,Table1345[[#This Row],[Product ID]]))</f>
        <v/>
      </c>
      <c r="K83" s="10" t="str">
        <f>IF(A82="","",IF(Table1345[[#This Row],[StockonHand]]&lt;5, "Re-Order","Available"))</f>
        <v/>
      </c>
      <c r="L83" s="10" t="str">
        <f>IF(Table1345[[#This Row],[Product ID]]="","",PRODUCT(Table1345[[#This Row],[Beginning Stocks]]-Table1345[[#This Row],[Transact Qty]]))</f>
        <v/>
      </c>
    </row>
    <row r="84" spans="1:12" ht="30" customHeight="1" x14ac:dyDescent="0.3">
      <c r="A84" s="4" t="str">
        <f t="shared" si="2"/>
        <v/>
      </c>
      <c r="B84" s="4" t="str">
        <f>IF(Table1345[[#This Row],[Product ID]]="","",VLOOKUP(Table1345[[#This Row],[Product ID]],data,2,FALSE))</f>
        <v/>
      </c>
      <c r="C84" s="4" t="str">
        <f>IF(Table1345[[#This Row],[Product ID]]="","",VLOOKUP(Table1345[[#This Row],[Product ID]],data,3,FALSE))</f>
        <v/>
      </c>
      <c r="D84" s="7" t="str">
        <f>IF(Table1345[[#This Row],[Product ID]]="","",VLOOKUP(Table1345[[#This Row],[Product ID]],data,4,FALSE))</f>
        <v/>
      </c>
      <c r="E84" s="7" t="str">
        <f>IF(Table1345[[#This Row],[Product ID]]="","",VLOOKUP(Table1345[[#This Row],[Product ID]],data,5,FALSE))</f>
        <v/>
      </c>
      <c r="F84" s="7" t="str">
        <f>IF(Table1345[[#This Row],[Product ID]]="","",SUMIFS(Stockin!F:F,Stockin!A:A,Table1345[[#This Row],[Product ID]]))</f>
        <v/>
      </c>
      <c r="G84" s="7" t="str">
        <f>IF(Table1345[[#This Row],[Product ID]]="","",SUMIFS(StockOut!G:G,StockOut!B:B,Table1345[[#This Row],[Product ID]]))</f>
        <v/>
      </c>
      <c r="H84" s="7" t="str">
        <f>IF(Table1345[[#This Row],[Product ID]]="","",SUM(Table1345[[#This Row],[Unit ]]-Table1345[[#This Row],[Selling Price]])*Table1345[[#This Row],[Transact Qty]])</f>
        <v/>
      </c>
      <c r="I84" s="10" t="str">
        <f>IF(Table1345[[#This Row],[Product ID]]="","",SUMIFS(Stockin!E:E,Stockin!A:A,Table1345[[#This Row],[Product ID]]))</f>
        <v/>
      </c>
      <c r="J84" s="10" t="str">
        <f>IF(Table1345[[#This Row],[Product ID]]="","",SUMIFS(StockOut!F:F,StockOut!B:B,Table1345[[#This Row],[Product ID]]))</f>
        <v/>
      </c>
      <c r="K84" s="10" t="str">
        <f>IF(A83="","",IF(Table1345[[#This Row],[StockonHand]]&lt;5, "Re-Order","Available"))</f>
        <v/>
      </c>
      <c r="L84" s="10" t="str">
        <f>IF(Table1345[[#This Row],[Product ID]]="","",PRODUCT(Table1345[[#This Row],[Beginning Stocks]]-Table1345[[#This Row],[Transact Qty]]))</f>
        <v/>
      </c>
    </row>
    <row r="85" spans="1:12" ht="30" customHeight="1" x14ac:dyDescent="0.3">
      <c r="A85" s="4" t="str">
        <f t="shared" si="2"/>
        <v/>
      </c>
      <c r="B85" s="4" t="str">
        <f>IF(Table1345[[#This Row],[Product ID]]="","",VLOOKUP(Table1345[[#This Row],[Product ID]],data,2,FALSE))</f>
        <v/>
      </c>
      <c r="C85" s="4" t="str">
        <f>IF(Table1345[[#This Row],[Product ID]]="","",VLOOKUP(Table1345[[#This Row],[Product ID]],data,3,FALSE))</f>
        <v/>
      </c>
      <c r="D85" s="7" t="str">
        <f>IF(Table1345[[#This Row],[Product ID]]="","",VLOOKUP(Table1345[[#This Row],[Product ID]],data,4,FALSE))</f>
        <v/>
      </c>
      <c r="E85" s="7" t="str">
        <f>IF(Table1345[[#This Row],[Product ID]]="","",VLOOKUP(Table1345[[#This Row],[Product ID]],data,5,FALSE))</f>
        <v/>
      </c>
      <c r="F85" s="7" t="str">
        <f>IF(Table1345[[#This Row],[Product ID]]="","",SUMIFS(Stockin!F:F,Stockin!A:A,Table1345[[#This Row],[Product ID]]))</f>
        <v/>
      </c>
      <c r="G85" s="7" t="str">
        <f>IF(Table1345[[#This Row],[Product ID]]="","",SUMIFS(StockOut!G:G,StockOut!B:B,Table1345[[#This Row],[Product ID]]))</f>
        <v/>
      </c>
      <c r="H85" s="7" t="str">
        <f>IF(Table1345[[#This Row],[Product ID]]="","",SUM(Table1345[[#This Row],[Unit ]]-Table1345[[#This Row],[Selling Price]])*Table1345[[#This Row],[Transact Qty]])</f>
        <v/>
      </c>
      <c r="I85" s="10" t="str">
        <f>IF(Table1345[[#This Row],[Product ID]]="","",SUMIFS(Stockin!E:E,Stockin!A:A,Table1345[[#This Row],[Product ID]]))</f>
        <v/>
      </c>
      <c r="J85" s="10" t="str">
        <f>IF(Table1345[[#This Row],[Product ID]]="","",SUMIFS(StockOut!F:F,StockOut!B:B,Table1345[[#This Row],[Product ID]]))</f>
        <v/>
      </c>
      <c r="K85" s="10" t="str">
        <f>IF(A84="","",IF(Table1345[[#This Row],[StockonHand]]&lt;5, "Re-Order","Available"))</f>
        <v/>
      </c>
      <c r="L85" s="10" t="str">
        <f>IF(Table1345[[#This Row],[Product ID]]="","",PRODUCT(Table1345[[#This Row],[Beginning Stocks]]-Table1345[[#This Row],[Transact Qty]]))</f>
        <v/>
      </c>
    </row>
    <row r="86" spans="1:12" ht="30" customHeight="1" x14ac:dyDescent="0.3">
      <c r="A86" s="4" t="str">
        <f t="shared" si="2"/>
        <v/>
      </c>
      <c r="B86" s="4" t="str">
        <f>IF(Table1345[[#This Row],[Product ID]]="","",VLOOKUP(Table1345[[#This Row],[Product ID]],data,2,FALSE))</f>
        <v/>
      </c>
      <c r="C86" s="4" t="str">
        <f>IF(Table1345[[#This Row],[Product ID]]="","",VLOOKUP(Table1345[[#This Row],[Product ID]],data,3,FALSE))</f>
        <v/>
      </c>
      <c r="D86" s="7" t="str">
        <f>IF(Table1345[[#This Row],[Product ID]]="","",VLOOKUP(Table1345[[#This Row],[Product ID]],data,4,FALSE))</f>
        <v/>
      </c>
      <c r="E86" s="7" t="str">
        <f>IF(Table1345[[#This Row],[Product ID]]="","",VLOOKUP(Table1345[[#This Row],[Product ID]],data,5,FALSE))</f>
        <v/>
      </c>
      <c r="F86" s="7" t="str">
        <f>IF(Table1345[[#This Row],[Product ID]]="","",SUMIFS(Stockin!F:F,Stockin!A:A,Table1345[[#This Row],[Product ID]]))</f>
        <v/>
      </c>
      <c r="G86" s="7" t="str">
        <f>IF(Table1345[[#This Row],[Product ID]]="","",SUMIFS(StockOut!G:G,StockOut!B:B,Table1345[[#This Row],[Product ID]]))</f>
        <v/>
      </c>
      <c r="H86" s="7" t="str">
        <f>IF(Table1345[[#This Row],[Product ID]]="","",SUM(Table1345[[#This Row],[Unit ]]-Table1345[[#This Row],[Selling Price]])*Table1345[[#This Row],[Transact Qty]])</f>
        <v/>
      </c>
      <c r="I86" s="10" t="str">
        <f>IF(Table1345[[#This Row],[Product ID]]="","",SUMIFS(Stockin!E:E,Stockin!A:A,Table1345[[#This Row],[Product ID]]))</f>
        <v/>
      </c>
      <c r="J86" s="10" t="str">
        <f>IF(Table1345[[#This Row],[Product ID]]="","",SUMIFS(StockOut!F:F,StockOut!B:B,Table1345[[#This Row],[Product ID]]))</f>
        <v/>
      </c>
      <c r="K86" s="10" t="str">
        <f>IF(A85="","",IF(Table1345[[#This Row],[StockonHand]]&lt;5, "Re-Order","Available"))</f>
        <v/>
      </c>
      <c r="L86" s="10" t="str">
        <f>IF(Table1345[[#This Row],[Product ID]]="","",PRODUCT(Table1345[[#This Row],[Beginning Stocks]]-Table1345[[#This Row],[Transact Qty]]))</f>
        <v/>
      </c>
    </row>
    <row r="87" spans="1:12" ht="30" customHeight="1" x14ac:dyDescent="0.3">
      <c r="A87" s="4" t="str">
        <f t="shared" si="2"/>
        <v/>
      </c>
      <c r="B87" s="4" t="str">
        <f>IF(Table1345[[#This Row],[Product ID]]="","",VLOOKUP(Table1345[[#This Row],[Product ID]],data,2,FALSE))</f>
        <v/>
      </c>
      <c r="C87" s="4" t="str">
        <f>IF(Table1345[[#This Row],[Product ID]]="","",VLOOKUP(Table1345[[#This Row],[Product ID]],data,3,FALSE))</f>
        <v/>
      </c>
      <c r="D87" s="7" t="str">
        <f>IF(Table1345[[#This Row],[Product ID]]="","",VLOOKUP(Table1345[[#This Row],[Product ID]],data,4,FALSE))</f>
        <v/>
      </c>
      <c r="E87" s="7" t="str">
        <f>IF(Table1345[[#This Row],[Product ID]]="","",VLOOKUP(Table1345[[#This Row],[Product ID]],data,5,FALSE))</f>
        <v/>
      </c>
      <c r="F87" s="7" t="str">
        <f>IF(Table1345[[#This Row],[Product ID]]="","",SUMIFS(Stockin!F:F,Stockin!A:A,Table1345[[#This Row],[Product ID]]))</f>
        <v/>
      </c>
      <c r="G87" s="7" t="str">
        <f>IF(Table1345[[#This Row],[Product ID]]="","",SUMIFS(StockOut!G:G,StockOut!B:B,Table1345[[#This Row],[Product ID]]))</f>
        <v/>
      </c>
      <c r="H87" s="7" t="str">
        <f>IF(Table1345[[#This Row],[Product ID]]="","",SUM(Table1345[[#This Row],[Unit ]]-Table1345[[#This Row],[Selling Price]])*Table1345[[#This Row],[Transact Qty]])</f>
        <v/>
      </c>
      <c r="I87" s="10" t="str">
        <f>IF(Table1345[[#This Row],[Product ID]]="","",SUMIFS(Stockin!E:E,Stockin!A:A,Table1345[[#This Row],[Product ID]]))</f>
        <v/>
      </c>
      <c r="J87" s="10" t="str">
        <f>IF(Table1345[[#This Row],[Product ID]]="","",SUMIFS(StockOut!F:F,StockOut!B:B,Table1345[[#This Row],[Product ID]]))</f>
        <v/>
      </c>
      <c r="K87" s="10" t="str">
        <f>IF(A86="","",IF(Table1345[[#This Row],[StockonHand]]&lt;5, "Re-Order","Available"))</f>
        <v/>
      </c>
      <c r="L87" s="10" t="str">
        <f>IF(Table1345[[#This Row],[Product ID]]="","",PRODUCT(Table1345[[#This Row],[Beginning Stocks]]-Table1345[[#This Row],[Transact Qty]]))</f>
        <v/>
      </c>
    </row>
    <row r="88" spans="1:12" ht="30" customHeight="1" x14ac:dyDescent="0.3">
      <c r="A88" s="4" t="str">
        <f t="shared" si="2"/>
        <v/>
      </c>
      <c r="B88" s="4" t="str">
        <f>IF(Table1345[[#This Row],[Product ID]]="","",VLOOKUP(Table1345[[#This Row],[Product ID]],data,2,FALSE))</f>
        <v/>
      </c>
      <c r="C88" s="4" t="str">
        <f>IF(Table1345[[#This Row],[Product ID]]="","",VLOOKUP(Table1345[[#This Row],[Product ID]],data,3,FALSE))</f>
        <v/>
      </c>
      <c r="D88" s="7" t="str">
        <f>IF(Table1345[[#This Row],[Product ID]]="","",VLOOKUP(Table1345[[#This Row],[Product ID]],data,4,FALSE))</f>
        <v/>
      </c>
      <c r="E88" s="7" t="str">
        <f>IF(Table1345[[#This Row],[Product ID]]="","",VLOOKUP(Table1345[[#This Row],[Product ID]],data,5,FALSE))</f>
        <v/>
      </c>
      <c r="F88" s="7" t="str">
        <f>IF(Table1345[[#This Row],[Product ID]]="","",SUMIFS(Stockin!F:F,Stockin!A:A,Table1345[[#This Row],[Product ID]]))</f>
        <v/>
      </c>
      <c r="G88" s="7" t="str">
        <f>IF(Table1345[[#This Row],[Product ID]]="","",SUMIFS(StockOut!G:G,StockOut!B:B,Table1345[[#This Row],[Product ID]]))</f>
        <v/>
      </c>
      <c r="H88" s="7" t="str">
        <f>IF(Table1345[[#This Row],[Product ID]]="","",SUM(Table1345[[#This Row],[Unit ]]-Table1345[[#This Row],[Selling Price]])*Table1345[[#This Row],[Transact Qty]])</f>
        <v/>
      </c>
      <c r="I88" s="10" t="str">
        <f>IF(Table1345[[#This Row],[Product ID]]="","",SUMIFS(Stockin!E:E,Stockin!A:A,Table1345[[#This Row],[Product ID]]))</f>
        <v/>
      </c>
      <c r="J88" s="10" t="str">
        <f>IF(Table1345[[#This Row],[Product ID]]="","",SUMIFS(StockOut!F:F,StockOut!B:B,Table1345[[#This Row],[Product ID]]))</f>
        <v/>
      </c>
      <c r="K88" s="10" t="str">
        <f>IF(A87="","",IF(Table1345[[#This Row],[StockonHand]]&lt;5, "Re-Order","Available"))</f>
        <v/>
      </c>
      <c r="L88" s="10" t="str">
        <f>IF(Table1345[[#This Row],[Product ID]]="","",PRODUCT(Table1345[[#This Row],[Beginning Stocks]]-Table1345[[#This Row],[Transact Qty]]))</f>
        <v/>
      </c>
    </row>
    <row r="89" spans="1:12" ht="30" customHeight="1" x14ac:dyDescent="0.3">
      <c r="A89" s="4" t="str">
        <f t="shared" si="2"/>
        <v/>
      </c>
      <c r="B89" s="4" t="str">
        <f>IF(Table1345[[#This Row],[Product ID]]="","",VLOOKUP(Table1345[[#This Row],[Product ID]],data,2,FALSE))</f>
        <v/>
      </c>
      <c r="C89" s="4" t="str">
        <f>IF(Table1345[[#This Row],[Product ID]]="","",VLOOKUP(Table1345[[#This Row],[Product ID]],data,3,FALSE))</f>
        <v/>
      </c>
      <c r="D89" s="7" t="str">
        <f>IF(Table1345[[#This Row],[Product ID]]="","",VLOOKUP(Table1345[[#This Row],[Product ID]],data,4,FALSE))</f>
        <v/>
      </c>
      <c r="E89" s="7" t="str">
        <f>IF(Table1345[[#This Row],[Product ID]]="","",VLOOKUP(Table1345[[#This Row],[Product ID]],data,5,FALSE))</f>
        <v/>
      </c>
      <c r="F89" s="7" t="str">
        <f>IF(Table1345[[#This Row],[Product ID]]="","",SUMIFS(Stockin!F:F,Stockin!A:A,Table1345[[#This Row],[Product ID]]))</f>
        <v/>
      </c>
      <c r="G89" s="7" t="str">
        <f>IF(Table1345[[#This Row],[Product ID]]="","",SUMIFS(StockOut!G:G,StockOut!B:B,Table1345[[#This Row],[Product ID]]))</f>
        <v/>
      </c>
      <c r="H89" s="7" t="str">
        <f>IF(Table1345[[#This Row],[Product ID]]="","",SUM(Table1345[[#This Row],[Unit ]]-Table1345[[#This Row],[Selling Price]])*Table1345[[#This Row],[Transact Qty]])</f>
        <v/>
      </c>
      <c r="I89" s="10" t="str">
        <f>IF(Table1345[[#This Row],[Product ID]]="","",SUMIFS(Stockin!E:E,Stockin!A:A,Table1345[[#This Row],[Product ID]]))</f>
        <v/>
      </c>
      <c r="J89" s="10" t="str">
        <f>IF(Table1345[[#This Row],[Product ID]]="","",SUMIFS(StockOut!F:F,StockOut!B:B,Table1345[[#This Row],[Product ID]]))</f>
        <v/>
      </c>
      <c r="K89" s="10" t="str">
        <f>IF(A88="","",IF(Table1345[[#This Row],[StockonHand]]&lt;5, "Re-Order","Available"))</f>
        <v/>
      </c>
      <c r="L89" s="10" t="str">
        <f>IF(Table1345[[#This Row],[Product ID]]="","",PRODUCT(Table1345[[#This Row],[Beginning Stocks]]-Table1345[[#This Row],[Transact Qty]]))</f>
        <v/>
      </c>
    </row>
    <row r="90" spans="1:12" ht="30" customHeight="1" x14ac:dyDescent="0.3">
      <c r="A90" s="4" t="str">
        <f t="shared" si="2"/>
        <v/>
      </c>
      <c r="B90" s="4" t="str">
        <f>IF(Table1345[[#This Row],[Product ID]]="","",VLOOKUP(Table1345[[#This Row],[Product ID]],data,2,FALSE))</f>
        <v/>
      </c>
      <c r="C90" s="4" t="str">
        <f>IF(Table1345[[#This Row],[Product ID]]="","",VLOOKUP(Table1345[[#This Row],[Product ID]],data,3,FALSE))</f>
        <v/>
      </c>
      <c r="D90" s="7" t="str">
        <f>IF(Table1345[[#This Row],[Product ID]]="","",VLOOKUP(Table1345[[#This Row],[Product ID]],data,4,FALSE))</f>
        <v/>
      </c>
      <c r="E90" s="7" t="str">
        <f>IF(Table1345[[#This Row],[Product ID]]="","",VLOOKUP(Table1345[[#This Row],[Product ID]],data,5,FALSE))</f>
        <v/>
      </c>
      <c r="F90" s="7" t="str">
        <f>IF(Table1345[[#This Row],[Product ID]]="","",SUMIFS(Stockin!F:F,Stockin!A:A,Table1345[[#This Row],[Product ID]]))</f>
        <v/>
      </c>
      <c r="G90" s="7" t="str">
        <f>IF(Table1345[[#This Row],[Product ID]]="","",SUMIFS(StockOut!G:G,StockOut!B:B,Table1345[[#This Row],[Product ID]]))</f>
        <v/>
      </c>
      <c r="H90" s="7" t="str">
        <f>IF(Table1345[[#This Row],[Product ID]]="","",SUM(Table1345[[#This Row],[Unit ]]-Table1345[[#This Row],[Selling Price]])*Table1345[[#This Row],[Transact Qty]])</f>
        <v/>
      </c>
      <c r="I90" s="10" t="str">
        <f>IF(Table1345[[#This Row],[Product ID]]="","",SUMIFS(Stockin!E:E,Stockin!A:A,Table1345[[#This Row],[Product ID]]))</f>
        <v/>
      </c>
      <c r="J90" s="10" t="str">
        <f>IF(Table1345[[#This Row],[Product ID]]="","",SUMIFS(StockOut!F:F,StockOut!B:B,Table1345[[#This Row],[Product ID]]))</f>
        <v/>
      </c>
      <c r="K90" s="10" t="str">
        <f>IF(A89="","",IF(Table1345[[#This Row],[StockonHand]]&lt;5, "Re-Order","Available"))</f>
        <v/>
      </c>
      <c r="L90" s="10" t="str">
        <f>IF(Table1345[[#This Row],[Product ID]]="","",PRODUCT(Table1345[[#This Row],[Beginning Stocks]]-Table1345[[#This Row],[Transact Qty]]))</f>
        <v/>
      </c>
    </row>
    <row r="91" spans="1:12" ht="30" customHeight="1" x14ac:dyDescent="0.3">
      <c r="A91" s="4" t="str">
        <f t="shared" si="2"/>
        <v/>
      </c>
      <c r="B91" s="4" t="str">
        <f>IF(Table1345[[#This Row],[Product ID]]="","",VLOOKUP(Table1345[[#This Row],[Product ID]],data,2,FALSE))</f>
        <v/>
      </c>
      <c r="C91" s="4" t="str">
        <f>IF(Table1345[[#This Row],[Product ID]]="","",VLOOKUP(Table1345[[#This Row],[Product ID]],data,3,FALSE))</f>
        <v/>
      </c>
      <c r="D91" s="7" t="str">
        <f>IF(Table1345[[#This Row],[Product ID]]="","",VLOOKUP(Table1345[[#This Row],[Product ID]],data,4,FALSE))</f>
        <v/>
      </c>
      <c r="E91" s="7" t="str">
        <f>IF(Table1345[[#This Row],[Product ID]]="","",VLOOKUP(Table1345[[#This Row],[Product ID]],data,5,FALSE))</f>
        <v/>
      </c>
      <c r="F91" s="7" t="str">
        <f>IF(Table1345[[#This Row],[Product ID]]="","",SUMIFS(Stockin!F:F,Stockin!A:A,Table1345[[#This Row],[Product ID]]))</f>
        <v/>
      </c>
      <c r="G91" s="7" t="str">
        <f>IF(Table1345[[#This Row],[Product ID]]="","",SUMIFS(StockOut!G:G,StockOut!B:B,Table1345[[#This Row],[Product ID]]))</f>
        <v/>
      </c>
      <c r="H91" s="7" t="str">
        <f>IF(Table1345[[#This Row],[Product ID]]="","",SUM(Table1345[[#This Row],[Unit ]]-Table1345[[#This Row],[Selling Price]])*Table1345[[#This Row],[Transact Qty]])</f>
        <v/>
      </c>
      <c r="I91" s="10" t="str">
        <f>IF(Table1345[[#This Row],[Product ID]]="","",SUMIFS(Stockin!E:E,Stockin!A:A,Table1345[[#This Row],[Product ID]]))</f>
        <v/>
      </c>
      <c r="J91" s="10" t="str">
        <f>IF(Table1345[[#This Row],[Product ID]]="","",SUMIFS(StockOut!F:F,StockOut!B:B,Table1345[[#This Row],[Product ID]]))</f>
        <v/>
      </c>
      <c r="K91" s="10" t="str">
        <f>IF(A90="","",IF(Table1345[[#This Row],[StockonHand]]&lt;5, "Re-Order","Available"))</f>
        <v/>
      </c>
      <c r="L91" s="10" t="str">
        <f>IF(Table1345[[#This Row],[Product ID]]="","",PRODUCT(Table1345[[#This Row],[Beginning Stocks]]-Table1345[[#This Row],[Transact Qty]]))</f>
        <v/>
      </c>
    </row>
    <row r="92" spans="1:12" ht="30" customHeight="1" x14ac:dyDescent="0.3">
      <c r="A92" s="4" t="str">
        <f t="shared" si="2"/>
        <v/>
      </c>
      <c r="B92" s="4" t="str">
        <f>IF(Table1345[[#This Row],[Product ID]]="","",VLOOKUP(Table1345[[#This Row],[Product ID]],data,2,FALSE))</f>
        <v/>
      </c>
      <c r="C92" s="4" t="str">
        <f>IF(Table1345[[#This Row],[Product ID]]="","",VLOOKUP(Table1345[[#This Row],[Product ID]],data,3,FALSE))</f>
        <v/>
      </c>
      <c r="D92" s="7" t="str">
        <f>IF(Table1345[[#This Row],[Product ID]]="","",VLOOKUP(Table1345[[#This Row],[Product ID]],data,4,FALSE))</f>
        <v/>
      </c>
      <c r="E92" s="7" t="str">
        <f>IF(Table1345[[#This Row],[Product ID]]="","",VLOOKUP(Table1345[[#This Row],[Product ID]],data,5,FALSE))</f>
        <v/>
      </c>
      <c r="F92" s="7" t="str">
        <f>IF(Table1345[[#This Row],[Product ID]]="","",SUMIFS(Stockin!F:F,Stockin!A:A,Table1345[[#This Row],[Product ID]]))</f>
        <v/>
      </c>
      <c r="G92" s="7" t="str">
        <f>IF(Table1345[[#This Row],[Product ID]]="","",SUMIFS(StockOut!G:G,StockOut!B:B,Table1345[[#This Row],[Product ID]]))</f>
        <v/>
      </c>
      <c r="H92" s="7" t="str">
        <f>IF(Table1345[[#This Row],[Product ID]]="","",SUM(Table1345[[#This Row],[Unit ]]-Table1345[[#This Row],[Selling Price]])*Table1345[[#This Row],[Transact Qty]])</f>
        <v/>
      </c>
      <c r="I92" s="10" t="str">
        <f>IF(Table1345[[#This Row],[Product ID]]="","",SUMIFS(Stockin!E:E,Stockin!A:A,Table1345[[#This Row],[Product ID]]))</f>
        <v/>
      </c>
      <c r="J92" s="10" t="str">
        <f>IF(Table1345[[#This Row],[Product ID]]="","",SUMIFS(StockOut!F:F,StockOut!B:B,Table1345[[#This Row],[Product ID]]))</f>
        <v/>
      </c>
      <c r="K92" s="10" t="str">
        <f>IF(A91="","",IF(Table1345[[#This Row],[StockonHand]]&lt;5, "Re-Order","Available"))</f>
        <v/>
      </c>
      <c r="L92" s="10" t="str">
        <f>IF(Table1345[[#This Row],[Product ID]]="","",PRODUCT(Table1345[[#This Row],[Beginning Stocks]]-Table1345[[#This Row],[Transact Qty]]))</f>
        <v/>
      </c>
    </row>
    <row r="93" spans="1:12" ht="30" customHeight="1" x14ac:dyDescent="0.3">
      <c r="A93" s="4" t="str">
        <f t="shared" si="2"/>
        <v/>
      </c>
      <c r="B93" s="4" t="str">
        <f>IF(Table1345[[#This Row],[Product ID]]="","",VLOOKUP(Table1345[[#This Row],[Product ID]],data,2,FALSE))</f>
        <v/>
      </c>
      <c r="C93" s="4" t="str">
        <f>IF(Table1345[[#This Row],[Product ID]]="","",VLOOKUP(Table1345[[#This Row],[Product ID]],data,3,FALSE))</f>
        <v/>
      </c>
      <c r="D93" s="7" t="str">
        <f>IF(Table1345[[#This Row],[Product ID]]="","",VLOOKUP(Table1345[[#This Row],[Product ID]],data,4,FALSE))</f>
        <v/>
      </c>
      <c r="E93" s="7" t="str">
        <f>IF(Table1345[[#This Row],[Product ID]]="","",VLOOKUP(Table1345[[#This Row],[Product ID]],data,5,FALSE))</f>
        <v/>
      </c>
      <c r="F93" s="7" t="str">
        <f>IF(Table1345[[#This Row],[Product ID]]="","",SUMIFS(Stockin!F:F,Stockin!A:A,Table1345[[#This Row],[Product ID]]))</f>
        <v/>
      </c>
      <c r="G93" s="7" t="str">
        <f>IF(Table1345[[#This Row],[Product ID]]="","",SUMIFS(StockOut!G:G,StockOut!B:B,Table1345[[#This Row],[Product ID]]))</f>
        <v/>
      </c>
      <c r="H93" s="7" t="str">
        <f>IF(Table1345[[#This Row],[Product ID]]="","",SUM(Table1345[[#This Row],[Unit ]]-Table1345[[#This Row],[Selling Price]])*Table1345[[#This Row],[Transact Qty]])</f>
        <v/>
      </c>
      <c r="I93" s="10" t="str">
        <f>IF(Table1345[[#This Row],[Product ID]]="","",SUMIFS(Stockin!E:E,Stockin!A:A,Table1345[[#This Row],[Product ID]]))</f>
        <v/>
      </c>
      <c r="J93" s="10" t="str">
        <f>IF(Table1345[[#This Row],[Product ID]]="","",SUMIFS(StockOut!F:F,StockOut!B:B,Table1345[[#This Row],[Product ID]]))</f>
        <v/>
      </c>
      <c r="K93" s="10" t="str">
        <f>IF(A92="","",IF(Table1345[[#This Row],[StockonHand]]&lt;5, "Re-Order","Available"))</f>
        <v/>
      </c>
      <c r="L93" s="10" t="str">
        <f>IF(Table1345[[#This Row],[Product ID]]="","",PRODUCT(Table1345[[#This Row],[Beginning Stocks]]-Table1345[[#This Row],[Transact Qty]]))</f>
        <v/>
      </c>
    </row>
    <row r="94" spans="1:12" ht="30" customHeight="1" x14ac:dyDescent="0.3">
      <c r="A94" s="4" t="str">
        <f t="shared" si="2"/>
        <v/>
      </c>
      <c r="B94" s="4" t="str">
        <f>IF(Table1345[[#This Row],[Product ID]]="","",VLOOKUP(Table1345[[#This Row],[Product ID]],data,2,FALSE))</f>
        <v/>
      </c>
      <c r="C94" s="4" t="str">
        <f>IF(Table1345[[#This Row],[Product ID]]="","",VLOOKUP(Table1345[[#This Row],[Product ID]],data,3,FALSE))</f>
        <v/>
      </c>
      <c r="D94" s="7" t="str">
        <f>IF(Table1345[[#This Row],[Product ID]]="","",VLOOKUP(Table1345[[#This Row],[Product ID]],data,4,FALSE))</f>
        <v/>
      </c>
      <c r="E94" s="7" t="str">
        <f>IF(Table1345[[#This Row],[Product ID]]="","",VLOOKUP(Table1345[[#This Row],[Product ID]],data,5,FALSE))</f>
        <v/>
      </c>
      <c r="F94" s="7" t="str">
        <f>IF(Table1345[[#This Row],[Product ID]]="","",SUMIFS(Stockin!F:F,Stockin!A:A,Table1345[[#This Row],[Product ID]]))</f>
        <v/>
      </c>
      <c r="G94" s="7" t="str">
        <f>IF(Table1345[[#This Row],[Product ID]]="","",SUMIFS(StockOut!G:G,StockOut!B:B,Table1345[[#This Row],[Product ID]]))</f>
        <v/>
      </c>
      <c r="H94" s="7" t="str">
        <f>IF(Table1345[[#This Row],[Product ID]]="","",SUM(Table1345[[#This Row],[Unit ]]-Table1345[[#This Row],[Selling Price]])*Table1345[[#This Row],[Transact Qty]])</f>
        <v/>
      </c>
      <c r="I94" s="10" t="str">
        <f>IF(Table1345[[#This Row],[Product ID]]="","",SUMIFS(Stockin!E:E,Stockin!A:A,Table1345[[#This Row],[Product ID]]))</f>
        <v/>
      </c>
      <c r="J94" s="10" t="str">
        <f>IF(Table1345[[#This Row],[Product ID]]="","",SUMIFS(StockOut!F:F,StockOut!B:B,Table1345[[#This Row],[Product ID]]))</f>
        <v/>
      </c>
      <c r="K94" s="10" t="str">
        <f>IF(A93="","",IF(Table1345[[#This Row],[StockonHand]]&lt;5, "Re-Order","Available"))</f>
        <v/>
      </c>
      <c r="L94" s="10" t="str">
        <f>IF(Table1345[[#This Row],[Product ID]]="","",PRODUCT(Table1345[[#This Row],[Beginning Stocks]]-Table1345[[#This Row],[Transact Qty]]))</f>
        <v/>
      </c>
    </row>
    <row r="95" spans="1:12" ht="30" customHeight="1" x14ac:dyDescent="0.3">
      <c r="A95" s="4" t="str">
        <f t="shared" si="2"/>
        <v/>
      </c>
      <c r="B95" s="4" t="str">
        <f>IF(Table1345[[#This Row],[Product ID]]="","",VLOOKUP(Table1345[[#This Row],[Product ID]],data,2,FALSE))</f>
        <v/>
      </c>
      <c r="C95" s="4" t="str">
        <f>IF(Table1345[[#This Row],[Product ID]]="","",VLOOKUP(Table1345[[#This Row],[Product ID]],data,3,FALSE))</f>
        <v/>
      </c>
      <c r="D95" s="7" t="str">
        <f>IF(Table1345[[#This Row],[Product ID]]="","",VLOOKUP(Table1345[[#This Row],[Product ID]],data,4,FALSE))</f>
        <v/>
      </c>
      <c r="E95" s="7" t="str">
        <f>IF(Table1345[[#This Row],[Product ID]]="","",VLOOKUP(Table1345[[#This Row],[Product ID]],data,5,FALSE))</f>
        <v/>
      </c>
      <c r="F95" s="7" t="str">
        <f>IF(Table1345[[#This Row],[Product ID]]="","",SUMIFS(Stockin!F:F,Stockin!A:A,Table1345[[#This Row],[Product ID]]))</f>
        <v/>
      </c>
      <c r="G95" s="7" t="str">
        <f>IF(Table1345[[#This Row],[Product ID]]="","",SUMIFS(StockOut!G:G,StockOut!B:B,Table1345[[#This Row],[Product ID]]))</f>
        <v/>
      </c>
      <c r="H95" s="7" t="str">
        <f>IF(Table1345[[#This Row],[Product ID]]="","",SUM(Table1345[[#This Row],[Unit ]]-Table1345[[#This Row],[Selling Price]])*Table1345[[#This Row],[Transact Qty]])</f>
        <v/>
      </c>
      <c r="I95" s="10" t="str">
        <f>IF(Table1345[[#This Row],[Product ID]]="","",SUMIFS(Stockin!E:E,Stockin!A:A,Table1345[[#This Row],[Product ID]]))</f>
        <v/>
      </c>
      <c r="J95" s="10" t="str">
        <f>IF(Table1345[[#This Row],[Product ID]]="","",SUMIFS(StockOut!F:F,StockOut!B:B,Table1345[[#This Row],[Product ID]]))</f>
        <v/>
      </c>
      <c r="K95" s="10" t="str">
        <f>IF(A94="","",IF(Table1345[[#This Row],[StockonHand]]&lt;5, "Re-Order","Available"))</f>
        <v/>
      </c>
      <c r="L95" s="10" t="str">
        <f>IF(Table1345[[#This Row],[Product ID]]="","",PRODUCT(Table1345[[#This Row],[Beginning Stocks]]-Table1345[[#This Row],[Transact Qty]]))</f>
        <v/>
      </c>
    </row>
    <row r="96" spans="1:12" ht="30" customHeight="1" x14ac:dyDescent="0.3">
      <c r="A96" s="4" t="str">
        <f t="shared" si="2"/>
        <v/>
      </c>
      <c r="B96" s="4" t="str">
        <f>IF(Table1345[[#This Row],[Product ID]]="","",VLOOKUP(Table1345[[#This Row],[Product ID]],data,2,FALSE))</f>
        <v/>
      </c>
      <c r="C96" s="4" t="str">
        <f>IF(Table1345[[#This Row],[Product ID]]="","",VLOOKUP(Table1345[[#This Row],[Product ID]],data,3,FALSE))</f>
        <v/>
      </c>
      <c r="D96" s="7" t="str">
        <f>IF(Table1345[[#This Row],[Product ID]]="","",VLOOKUP(Table1345[[#This Row],[Product ID]],data,4,FALSE))</f>
        <v/>
      </c>
      <c r="E96" s="7" t="str">
        <f>IF(Table1345[[#This Row],[Product ID]]="","",VLOOKUP(Table1345[[#This Row],[Product ID]],data,5,FALSE))</f>
        <v/>
      </c>
      <c r="F96" s="7" t="str">
        <f>IF(Table1345[[#This Row],[Product ID]]="","",SUMIFS(Stockin!F:F,Stockin!A:A,Table1345[[#This Row],[Product ID]]))</f>
        <v/>
      </c>
      <c r="G96" s="7" t="str">
        <f>IF(Table1345[[#This Row],[Product ID]]="","",SUMIFS(StockOut!G:G,StockOut!B:B,Table1345[[#This Row],[Product ID]]))</f>
        <v/>
      </c>
      <c r="H96" s="7" t="str">
        <f>IF(Table1345[[#This Row],[Product ID]]="","",SUM(Table1345[[#This Row],[Unit ]]-Table1345[[#This Row],[Selling Price]])*Table1345[[#This Row],[Transact Qty]])</f>
        <v/>
      </c>
      <c r="I96" s="10" t="str">
        <f>IF(Table1345[[#This Row],[Product ID]]="","",SUMIFS(Stockin!E:E,Stockin!A:A,Table1345[[#This Row],[Product ID]]))</f>
        <v/>
      </c>
      <c r="J96" s="10" t="str">
        <f>IF(Table1345[[#This Row],[Product ID]]="","",SUMIFS(StockOut!F:F,StockOut!B:B,Table1345[[#This Row],[Product ID]]))</f>
        <v/>
      </c>
      <c r="K96" s="10" t="str">
        <f>IF(A95="","",IF(Table1345[[#This Row],[StockonHand]]&lt;5, "Re-Order","Available"))</f>
        <v/>
      </c>
      <c r="L96" s="10" t="str">
        <f>IF(Table1345[[#This Row],[Product ID]]="","",PRODUCT(Table1345[[#This Row],[Beginning Stocks]]-Table1345[[#This Row],[Transact Qty]]))</f>
        <v/>
      </c>
    </row>
    <row r="97" spans="1:12" ht="30" customHeight="1" x14ac:dyDescent="0.3">
      <c r="A97" s="4" t="str">
        <f t="shared" si="2"/>
        <v/>
      </c>
      <c r="B97" s="4" t="str">
        <f>IF(Table1345[[#This Row],[Product ID]]="","",VLOOKUP(Table1345[[#This Row],[Product ID]],data,2,FALSE))</f>
        <v/>
      </c>
      <c r="C97" s="4" t="str">
        <f>IF(Table1345[[#This Row],[Product ID]]="","",VLOOKUP(Table1345[[#This Row],[Product ID]],data,3,FALSE))</f>
        <v/>
      </c>
      <c r="D97" s="7" t="str">
        <f>IF(Table1345[[#This Row],[Product ID]]="","",VLOOKUP(Table1345[[#This Row],[Product ID]],data,4,FALSE))</f>
        <v/>
      </c>
      <c r="E97" s="7" t="str">
        <f>IF(Table1345[[#This Row],[Product ID]]="","",VLOOKUP(Table1345[[#This Row],[Product ID]],data,5,FALSE))</f>
        <v/>
      </c>
      <c r="F97" s="7" t="str">
        <f>IF(Table1345[[#This Row],[Product ID]]="","",SUMIFS(Stockin!F:F,Stockin!A:A,Table1345[[#This Row],[Product ID]]))</f>
        <v/>
      </c>
      <c r="G97" s="7" t="str">
        <f>IF(Table1345[[#This Row],[Product ID]]="","",SUMIFS(StockOut!G:G,StockOut!B:B,Table1345[[#This Row],[Product ID]]))</f>
        <v/>
      </c>
      <c r="H97" s="7" t="str">
        <f>IF(Table1345[[#This Row],[Product ID]]="","",SUM(Table1345[[#This Row],[Unit ]]-Table1345[[#This Row],[Selling Price]])*Table1345[[#This Row],[Transact Qty]])</f>
        <v/>
      </c>
      <c r="I97" s="10" t="str">
        <f>IF(Table1345[[#This Row],[Product ID]]="","",SUMIFS(Stockin!E:E,Stockin!A:A,Table1345[[#This Row],[Product ID]]))</f>
        <v/>
      </c>
      <c r="J97" s="10" t="str">
        <f>IF(Table1345[[#This Row],[Product ID]]="","",SUMIFS(StockOut!F:F,StockOut!B:B,Table1345[[#This Row],[Product ID]]))</f>
        <v/>
      </c>
      <c r="K97" s="10" t="str">
        <f>IF(A96="","",IF(Table1345[[#This Row],[StockonHand]]&lt;5, "Re-Order","Available"))</f>
        <v/>
      </c>
      <c r="L97" s="10" t="str">
        <f>IF(Table1345[[#This Row],[Product ID]]="","",PRODUCT(Table1345[[#This Row],[Beginning Stocks]]-Table1345[[#This Row],[Transact Qty]]))</f>
        <v/>
      </c>
    </row>
    <row r="98" spans="1:12" ht="30" customHeight="1" x14ac:dyDescent="0.3">
      <c r="A98" s="4" t="str">
        <f t="shared" ref="A98:A129" si="3">IF(item="","",item)</f>
        <v/>
      </c>
      <c r="B98" s="4" t="str">
        <f>IF(Table1345[[#This Row],[Product ID]]="","",VLOOKUP(Table1345[[#This Row],[Product ID]],data,2,FALSE))</f>
        <v/>
      </c>
      <c r="C98" s="4" t="str">
        <f>IF(Table1345[[#This Row],[Product ID]]="","",VLOOKUP(Table1345[[#This Row],[Product ID]],data,3,FALSE))</f>
        <v/>
      </c>
      <c r="D98" s="7" t="str">
        <f>IF(Table1345[[#This Row],[Product ID]]="","",VLOOKUP(Table1345[[#This Row],[Product ID]],data,4,FALSE))</f>
        <v/>
      </c>
      <c r="E98" s="7" t="str">
        <f>IF(Table1345[[#This Row],[Product ID]]="","",VLOOKUP(Table1345[[#This Row],[Product ID]],data,5,FALSE))</f>
        <v/>
      </c>
      <c r="F98" s="7" t="str">
        <f>IF(Table1345[[#This Row],[Product ID]]="","",SUMIFS(Stockin!F:F,Stockin!A:A,Table1345[[#This Row],[Product ID]]))</f>
        <v/>
      </c>
      <c r="G98" s="7" t="str">
        <f>IF(Table1345[[#This Row],[Product ID]]="","",SUMIFS(StockOut!G:G,StockOut!B:B,Table1345[[#This Row],[Product ID]]))</f>
        <v/>
      </c>
      <c r="H98" s="7" t="str">
        <f>IF(Table1345[[#This Row],[Product ID]]="","",SUM(Table1345[[#This Row],[Unit ]]-Table1345[[#This Row],[Selling Price]])*Table1345[[#This Row],[Transact Qty]])</f>
        <v/>
      </c>
      <c r="I98" s="10" t="str">
        <f>IF(Table1345[[#This Row],[Product ID]]="","",SUMIFS(Stockin!E:E,Stockin!A:A,Table1345[[#This Row],[Product ID]]))</f>
        <v/>
      </c>
      <c r="J98" s="10" t="str">
        <f>IF(Table1345[[#This Row],[Product ID]]="","",SUMIFS(StockOut!F:F,StockOut!B:B,Table1345[[#This Row],[Product ID]]))</f>
        <v/>
      </c>
      <c r="K98" s="10" t="str">
        <f>IF(A97="","",IF(Table1345[[#This Row],[StockonHand]]&lt;5, "Re-Order","Available"))</f>
        <v/>
      </c>
      <c r="L98" s="10" t="str">
        <f>IF(Table1345[[#This Row],[Product ID]]="","",PRODUCT(Table1345[[#This Row],[Beginning Stocks]]-Table1345[[#This Row],[Transact Qty]]))</f>
        <v/>
      </c>
    </row>
    <row r="99" spans="1:12" ht="30" customHeight="1" x14ac:dyDescent="0.3">
      <c r="A99" s="4" t="str">
        <f t="shared" si="3"/>
        <v/>
      </c>
      <c r="B99" s="4" t="str">
        <f>IF(Table1345[[#This Row],[Product ID]]="","",VLOOKUP(Table1345[[#This Row],[Product ID]],data,2,FALSE))</f>
        <v/>
      </c>
      <c r="C99" s="4" t="str">
        <f>IF(Table1345[[#This Row],[Product ID]]="","",VLOOKUP(Table1345[[#This Row],[Product ID]],data,3,FALSE))</f>
        <v/>
      </c>
      <c r="D99" s="7" t="str">
        <f>IF(Table1345[[#This Row],[Product ID]]="","",VLOOKUP(Table1345[[#This Row],[Product ID]],data,4,FALSE))</f>
        <v/>
      </c>
      <c r="E99" s="7" t="str">
        <f>IF(Table1345[[#This Row],[Product ID]]="","",VLOOKUP(Table1345[[#This Row],[Product ID]],data,5,FALSE))</f>
        <v/>
      </c>
      <c r="F99" s="7" t="str">
        <f>IF(Table1345[[#This Row],[Product ID]]="","",SUMIFS(Stockin!F:F,Stockin!A:A,Table1345[[#This Row],[Product ID]]))</f>
        <v/>
      </c>
      <c r="G99" s="7" t="str">
        <f>IF(Table1345[[#This Row],[Product ID]]="","",SUMIFS(StockOut!G:G,StockOut!B:B,Table1345[[#This Row],[Product ID]]))</f>
        <v/>
      </c>
      <c r="H99" s="7" t="str">
        <f>IF(Table1345[[#This Row],[Product ID]]="","",SUM(Table1345[[#This Row],[Unit ]]-Table1345[[#This Row],[Selling Price]])*Table1345[[#This Row],[Transact Qty]])</f>
        <v/>
      </c>
      <c r="I99" s="10" t="str">
        <f>IF(Table1345[[#This Row],[Product ID]]="","",SUMIFS(Stockin!E:E,Stockin!A:A,Table1345[[#This Row],[Product ID]]))</f>
        <v/>
      </c>
      <c r="J99" s="10" t="str">
        <f>IF(Table1345[[#This Row],[Product ID]]="","",SUMIFS(StockOut!F:F,StockOut!B:B,Table1345[[#This Row],[Product ID]]))</f>
        <v/>
      </c>
      <c r="K99" s="10" t="str">
        <f>IF(A98="","",IF(Table1345[[#This Row],[StockonHand]]&lt;5, "Re-Order","Available"))</f>
        <v/>
      </c>
      <c r="L99" s="10" t="str">
        <f>IF(Table1345[[#This Row],[Product ID]]="","",PRODUCT(Table1345[[#This Row],[Beginning Stocks]]-Table1345[[#This Row],[Transact Qty]]))</f>
        <v/>
      </c>
    </row>
    <row r="100" spans="1:12" ht="30" customHeight="1" x14ac:dyDescent="0.3">
      <c r="A100" s="4" t="str">
        <f t="shared" si="3"/>
        <v/>
      </c>
      <c r="B100" s="4" t="str">
        <f>IF(Table1345[[#This Row],[Product ID]]="","",VLOOKUP(Table1345[[#This Row],[Product ID]],data,2,FALSE))</f>
        <v/>
      </c>
      <c r="C100" s="4" t="str">
        <f>IF(Table1345[[#This Row],[Product ID]]="","",VLOOKUP(Table1345[[#This Row],[Product ID]],data,3,FALSE))</f>
        <v/>
      </c>
      <c r="D100" s="7" t="str">
        <f>IF(Table1345[[#This Row],[Product ID]]="","",VLOOKUP(Table1345[[#This Row],[Product ID]],data,4,FALSE))</f>
        <v/>
      </c>
      <c r="E100" s="7" t="str">
        <f>IF(Table1345[[#This Row],[Product ID]]="","",VLOOKUP(Table1345[[#This Row],[Product ID]],data,5,FALSE))</f>
        <v/>
      </c>
      <c r="F100" s="7" t="str">
        <f>IF(Table1345[[#This Row],[Product ID]]="","",SUMIFS(Stockin!F:F,Stockin!A:A,Table1345[[#This Row],[Product ID]]))</f>
        <v/>
      </c>
      <c r="G100" s="7" t="str">
        <f>IF(Table1345[[#This Row],[Product ID]]="","",SUMIFS(StockOut!G:G,StockOut!B:B,Table1345[[#This Row],[Product ID]]))</f>
        <v/>
      </c>
      <c r="H100" s="7" t="str">
        <f>IF(Table1345[[#This Row],[Product ID]]="","",SUM(Table1345[[#This Row],[Unit ]]-Table1345[[#This Row],[Selling Price]])*Table1345[[#This Row],[Transact Qty]])</f>
        <v/>
      </c>
      <c r="I100" s="10" t="str">
        <f>IF(Table1345[[#This Row],[Product ID]]="","",SUMIFS(Stockin!E:E,Stockin!A:A,Table1345[[#This Row],[Product ID]]))</f>
        <v/>
      </c>
      <c r="J100" s="10" t="str">
        <f>IF(Table1345[[#This Row],[Product ID]]="","",SUMIFS(StockOut!F:F,StockOut!B:B,Table1345[[#This Row],[Product ID]]))</f>
        <v/>
      </c>
      <c r="K100" s="10" t="str">
        <f>IF(A99="","",IF(Table1345[[#This Row],[StockonHand]]&lt;5, "Re-Order","Available"))</f>
        <v/>
      </c>
      <c r="L100" s="10" t="str">
        <f>IF(Table1345[[#This Row],[Product ID]]="","",PRODUCT(Table1345[[#This Row],[Beginning Stocks]]-Table1345[[#This Row],[Transact Qty]]))</f>
        <v/>
      </c>
    </row>
    <row r="101" spans="1:12" ht="30" customHeight="1" x14ac:dyDescent="0.3">
      <c r="A101" s="4" t="str">
        <f t="shared" si="3"/>
        <v/>
      </c>
      <c r="B101" s="4" t="str">
        <f>IF(Table1345[[#This Row],[Product ID]]="","",VLOOKUP(Table1345[[#This Row],[Product ID]],data,2,FALSE))</f>
        <v/>
      </c>
      <c r="C101" s="4" t="str">
        <f>IF(Table1345[[#This Row],[Product ID]]="","",VLOOKUP(Table1345[[#This Row],[Product ID]],data,3,FALSE))</f>
        <v/>
      </c>
      <c r="D101" s="7" t="str">
        <f>IF(Table1345[[#This Row],[Product ID]]="","",VLOOKUP(Table1345[[#This Row],[Product ID]],data,4,FALSE))</f>
        <v/>
      </c>
      <c r="E101" s="7" t="str">
        <f>IF(Table1345[[#This Row],[Product ID]]="","",VLOOKUP(Table1345[[#This Row],[Product ID]],data,5,FALSE))</f>
        <v/>
      </c>
      <c r="F101" s="7" t="str">
        <f>IF(Table1345[[#This Row],[Product ID]]="","",SUMIFS(Stockin!F:F,Stockin!A:A,Table1345[[#This Row],[Product ID]]))</f>
        <v/>
      </c>
      <c r="G101" s="7" t="str">
        <f>IF(Table1345[[#This Row],[Product ID]]="","",SUMIFS(StockOut!G:G,StockOut!B:B,Table1345[[#This Row],[Product ID]]))</f>
        <v/>
      </c>
      <c r="H101" s="7" t="str">
        <f>IF(Table1345[[#This Row],[Product ID]]="","",SUM(Table1345[[#This Row],[Unit ]]-Table1345[[#This Row],[Selling Price]])*Table1345[[#This Row],[Transact Qty]])</f>
        <v/>
      </c>
      <c r="I101" s="10" t="str">
        <f>IF(Table1345[[#This Row],[Product ID]]="","",SUMIFS(Stockin!E:E,Stockin!A:A,Table1345[[#This Row],[Product ID]]))</f>
        <v/>
      </c>
      <c r="J101" s="10" t="str">
        <f>IF(Table1345[[#This Row],[Product ID]]="","",SUMIFS(StockOut!F:F,StockOut!B:B,Table1345[[#This Row],[Product ID]]))</f>
        <v/>
      </c>
      <c r="K101" s="10" t="str">
        <f>IF(A100="","",IF(Table1345[[#This Row],[StockonHand]]&lt;5, "Re-Order","Available"))</f>
        <v/>
      </c>
      <c r="L101" s="10" t="str">
        <f>IF(Table1345[[#This Row],[Product ID]]="","",PRODUCT(Table1345[[#This Row],[Beginning Stocks]]-Table1345[[#This Row],[Transact Qty]]))</f>
        <v/>
      </c>
    </row>
    <row r="102" spans="1:12" ht="30" customHeight="1" x14ac:dyDescent="0.3">
      <c r="A102" s="4" t="str">
        <f t="shared" si="3"/>
        <v/>
      </c>
      <c r="B102" s="4" t="str">
        <f>IF(Table1345[[#This Row],[Product ID]]="","",VLOOKUP(Table1345[[#This Row],[Product ID]],data,2,FALSE))</f>
        <v/>
      </c>
      <c r="C102" s="4" t="str">
        <f>IF(Table1345[[#This Row],[Product ID]]="","",VLOOKUP(Table1345[[#This Row],[Product ID]],data,3,FALSE))</f>
        <v/>
      </c>
      <c r="D102" s="7" t="str">
        <f>IF(Table1345[[#This Row],[Product ID]]="","",VLOOKUP(Table1345[[#This Row],[Product ID]],data,4,FALSE))</f>
        <v/>
      </c>
      <c r="E102" s="7" t="str">
        <f>IF(Table1345[[#This Row],[Product ID]]="","",VLOOKUP(Table1345[[#This Row],[Product ID]],data,5,FALSE))</f>
        <v/>
      </c>
      <c r="F102" s="7" t="str">
        <f>IF(Table1345[[#This Row],[Product ID]]="","",SUMIFS(Stockin!F:F,Stockin!A:A,Table1345[[#This Row],[Product ID]]))</f>
        <v/>
      </c>
      <c r="G102" s="7" t="str">
        <f>IF(Table1345[[#This Row],[Product ID]]="","",SUMIFS(StockOut!G:G,StockOut!B:B,Table1345[[#This Row],[Product ID]]))</f>
        <v/>
      </c>
      <c r="H102" s="7" t="str">
        <f>IF(Table1345[[#This Row],[Product ID]]="","",SUM(Table1345[[#This Row],[Unit ]]-Table1345[[#This Row],[Selling Price]])*Table1345[[#This Row],[Transact Qty]])</f>
        <v/>
      </c>
      <c r="I102" s="10" t="str">
        <f>IF(Table1345[[#This Row],[Product ID]]="","",SUMIFS(Stockin!E:E,Stockin!A:A,Table1345[[#This Row],[Product ID]]))</f>
        <v/>
      </c>
      <c r="J102" s="10" t="str">
        <f>IF(Table1345[[#This Row],[Product ID]]="","",SUMIFS(StockOut!F:F,StockOut!B:B,Table1345[[#This Row],[Product ID]]))</f>
        <v/>
      </c>
      <c r="K102" s="10" t="str">
        <f>IF(A101="","",IF(Table1345[[#This Row],[StockonHand]]&lt;5, "Re-Order","Available"))</f>
        <v/>
      </c>
      <c r="L102" s="10" t="str">
        <f>IF(Table1345[[#This Row],[Product ID]]="","",PRODUCT(Table1345[[#This Row],[Beginning Stocks]]-Table1345[[#This Row],[Transact Qty]]))</f>
        <v/>
      </c>
    </row>
    <row r="103" spans="1:12" ht="30" customHeight="1" x14ac:dyDescent="0.3">
      <c r="A103" s="4" t="str">
        <f t="shared" si="3"/>
        <v/>
      </c>
      <c r="B103" s="4" t="str">
        <f>IF(Table1345[[#This Row],[Product ID]]="","",VLOOKUP(Table1345[[#This Row],[Product ID]],data,2,FALSE))</f>
        <v/>
      </c>
      <c r="C103" s="4" t="str">
        <f>IF(Table1345[[#This Row],[Product ID]]="","",VLOOKUP(Table1345[[#This Row],[Product ID]],data,3,FALSE))</f>
        <v/>
      </c>
      <c r="D103" s="7" t="str">
        <f>IF(Table1345[[#This Row],[Product ID]]="","",VLOOKUP(Table1345[[#This Row],[Product ID]],data,4,FALSE))</f>
        <v/>
      </c>
      <c r="E103" s="7" t="str">
        <f>IF(Table1345[[#This Row],[Product ID]]="","",VLOOKUP(Table1345[[#This Row],[Product ID]],data,5,FALSE))</f>
        <v/>
      </c>
      <c r="F103" s="7" t="str">
        <f>IF(Table1345[[#This Row],[Product ID]]="","",SUMIFS(Stockin!F:F,Stockin!A:A,Table1345[[#This Row],[Product ID]]))</f>
        <v/>
      </c>
      <c r="G103" s="7" t="str">
        <f>IF(Table1345[[#This Row],[Product ID]]="","",SUMIFS(StockOut!G:G,StockOut!B:B,Table1345[[#This Row],[Product ID]]))</f>
        <v/>
      </c>
      <c r="H103" s="7" t="str">
        <f>IF(Table1345[[#This Row],[Product ID]]="","",SUM(Table1345[[#This Row],[Unit ]]-Table1345[[#This Row],[Selling Price]])*Table1345[[#This Row],[Transact Qty]])</f>
        <v/>
      </c>
      <c r="I103" s="10" t="str">
        <f>IF(Table1345[[#This Row],[Product ID]]="","",SUMIFS(Stockin!E:E,Stockin!A:A,Table1345[[#This Row],[Product ID]]))</f>
        <v/>
      </c>
      <c r="J103" s="10" t="str">
        <f>IF(Table1345[[#This Row],[Product ID]]="","",SUMIFS(StockOut!F:F,StockOut!B:B,Table1345[[#This Row],[Product ID]]))</f>
        <v/>
      </c>
      <c r="K103" s="10" t="str">
        <f>IF(A102="","",IF(Table1345[[#This Row],[StockonHand]]&lt;5, "Re-Order","Available"))</f>
        <v/>
      </c>
      <c r="L103" s="10" t="str">
        <f>IF(Table1345[[#This Row],[Product ID]]="","",PRODUCT(Table1345[[#This Row],[Beginning Stocks]]-Table1345[[#This Row],[Transact Qty]]))</f>
        <v/>
      </c>
    </row>
    <row r="104" spans="1:12" ht="30" customHeight="1" x14ac:dyDescent="0.3">
      <c r="A104" s="4" t="str">
        <f t="shared" si="3"/>
        <v/>
      </c>
      <c r="B104" s="4" t="str">
        <f>IF(Table1345[[#This Row],[Product ID]]="","",VLOOKUP(Table1345[[#This Row],[Product ID]],data,2,FALSE))</f>
        <v/>
      </c>
      <c r="C104" s="4" t="str">
        <f>IF(Table1345[[#This Row],[Product ID]]="","",VLOOKUP(Table1345[[#This Row],[Product ID]],data,3,FALSE))</f>
        <v/>
      </c>
      <c r="D104" s="7" t="str">
        <f>IF(Table1345[[#This Row],[Product ID]]="","",VLOOKUP(Table1345[[#This Row],[Product ID]],data,4,FALSE))</f>
        <v/>
      </c>
      <c r="E104" s="7" t="str">
        <f>IF(Table1345[[#This Row],[Product ID]]="","",VLOOKUP(Table1345[[#This Row],[Product ID]],data,5,FALSE))</f>
        <v/>
      </c>
      <c r="F104" s="7" t="str">
        <f>IF(Table1345[[#This Row],[Product ID]]="","",SUMIFS(Stockin!F:F,Stockin!A:A,Table1345[[#This Row],[Product ID]]))</f>
        <v/>
      </c>
      <c r="G104" s="7" t="str">
        <f>IF(Table1345[[#This Row],[Product ID]]="","",SUMIFS(StockOut!G:G,StockOut!B:B,Table1345[[#This Row],[Product ID]]))</f>
        <v/>
      </c>
      <c r="H104" s="7" t="str">
        <f>IF(Table1345[[#This Row],[Product ID]]="","",SUM(Table1345[[#This Row],[Unit ]]-Table1345[[#This Row],[Selling Price]])*Table1345[[#This Row],[Transact Qty]])</f>
        <v/>
      </c>
      <c r="I104" s="10" t="str">
        <f>IF(Table1345[[#This Row],[Product ID]]="","",SUMIFS(Stockin!E:E,Stockin!A:A,Table1345[[#This Row],[Product ID]]))</f>
        <v/>
      </c>
      <c r="J104" s="10" t="str">
        <f>IF(Table1345[[#This Row],[Product ID]]="","",SUMIFS(StockOut!F:F,StockOut!B:B,Table1345[[#This Row],[Product ID]]))</f>
        <v/>
      </c>
      <c r="K104" s="10" t="str">
        <f>IF(A103="","",IF(Table1345[[#This Row],[StockonHand]]&lt;5, "Re-Order","Available"))</f>
        <v/>
      </c>
      <c r="L104" s="10" t="str">
        <f>IF(Table1345[[#This Row],[Product ID]]="","",PRODUCT(Table1345[[#This Row],[Beginning Stocks]]-Table1345[[#This Row],[Transact Qty]]))</f>
        <v/>
      </c>
    </row>
    <row r="105" spans="1:12" ht="30" customHeight="1" x14ac:dyDescent="0.3">
      <c r="A105" s="4" t="str">
        <f t="shared" si="3"/>
        <v/>
      </c>
      <c r="B105" s="4" t="str">
        <f>IF(Table1345[[#This Row],[Product ID]]="","",VLOOKUP(Table1345[[#This Row],[Product ID]],data,2,FALSE))</f>
        <v/>
      </c>
      <c r="C105" s="4" t="str">
        <f>IF(Table1345[[#This Row],[Product ID]]="","",VLOOKUP(Table1345[[#This Row],[Product ID]],data,3,FALSE))</f>
        <v/>
      </c>
      <c r="D105" s="7" t="str">
        <f>IF(Table1345[[#This Row],[Product ID]]="","",VLOOKUP(Table1345[[#This Row],[Product ID]],data,4,FALSE))</f>
        <v/>
      </c>
      <c r="E105" s="7" t="str">
        <f>IF(Table1345[[#This Row],[Product ID]]="","",VLOOKUP(Table1345[[#This Row],[Product ID]],data,5,FALSE))</f>
        <v/>
      </c>
      <c r="F105" s="7" t="str">
        <f>IF(Table1345[[#This Row],[Product ID]]="","",SUMIFS(Stockin!F:F,Stockin!A:A,Table1345[[#This Row],[Product ID]]))</f>
        <v/>
      </c>
      <c r="G105" s="7" t="str">
        <f>IF(Table1345[[#This Row],[Product ID]]="","",SUMIFS(StockOut!G:G,StockOut!B:B,Table1345[[#This Row],[Product ID]]))</f>
        <v/>
      </c>
      <c r="H105" s="7" t="str">
        <f>IF(Table1345[[#This Row],[Product ID]]="","",SUM(Table1345[[#This Row],[Unit ]]-Table1345[[#This Row],[Selling Price]])*Table1345[[#This Row],[Transact Qty]])</f>
        <v/>
      </c>
      <c r="I105" s="10" t="str">
        <f>IF(Table1345[[#This Row],[Product ID]]="","",SUMIFS(Stockin!E:E,Stockin!A:A,Table1345[[#This Row],[Product ID]]))</f>
        <v/>
      </c>
      <c r="J105" s="10" t="str">
        <f>IF(Table1345[[#This Row],[Product ID]]="","",SUMIFS(StockOut!F:F,StockOut!B:B,Table1345[[#This Row],[Product ID]]))</f>
        <v/>
      </c>
      <c r="K105" s="10" t="str">
        <f>IF(A104="","",IF(Table1345[[#This Row],[StockonHand]]&lt;5, "Re-Order","Available"))</f>
        <v/>
      </c>
      <c r="L105" s="10" t="str">
        <f>IF(Table1345[[#This Row],[Product ID]]="","",PRODUCT(Table1345[[#This Row],[Beginning Stocks]]-Table1345[[#This Row],[Transact Qty]]))</f>
        <v/>
      </c>
    </row>
    <row r="106" spans="1:12" ht="30" customHeight="1" x14ac:dyDescent="0.3">
      <c r="A106" s="4" t="str">
        <f t="shared" si="3"/>
        <v/>
      </c>
      <c r="B106" s="4" t="str">
        <f>IF(Table1345[[#This Row],[Product ID]]="","",VLOOKUP(Table1345[[#This Row],[Product ID]],data,2,FALSE))</f>
        <v/>
      </c>
      <c r="C106" s="4" t="str">
        <f>IF(Table1345[[#This Row],[Product ID]]="","",VLOOKUP(Table1345[[#This Row],[Product ID]],data,3,FALSE))</f>
        <v/>
      </c>
      <c r="D106" s="7" t="str">
        <f>IF(Table1345[[#This Row],[Product ID]]="","",VLOOKUP(Table1345[[#This Row],[Product ID]],data,4,FALSE))</f>
        <v/>
      </c>
      <c r="E106" s="7" t="str">
        <f>IF(Table1345[[#This Row],[Product ID]]="","",VLOOKUP(Table1345[[#This Row],[Product ID]],data,5,FALSE))</f>
        <v/>
      </c>
      <c r="F106" s="7" t="str">
        <f>IF(Table1345[[#This Row],[Product ID]]="","",SUMIFS(Stockin!F:F,Stockin!A:A,Table1345[[#This Row],[Product ID]]))</f>
        <v/>
      </c>
      <c r="G106" s="7" t="str">
        <f>IF(Table1345[[#This Row],[Product ID]]="","",SUMIFS(StockOut!G:G,StockOut!B:B,Table1345[[#This Row],[Product ID]]))</f>
        <v/>
      </c>
      <c r="H106" s="7" t="str">
        <f>IF(Table1345[[#This Row],[Product ID]]="","",SUM(Table1345[[#This Row],[Unit ]]-Table1345[[#This Row],[Selling Price]])*Table1345[[#This Row],[Transact Qty]])</f>
        <v/>
      </c>
      <c r="I106" s="10" t="str">
        <f>IF(Table1345[[#This Row],[Product ID]]="","",SUMIFS(Stockin!E:E,Stockin!A:A,Table1345[[#This Row],[Product ID]]))</f>
        <v/>
      </c>
      <c r="J106" s="10" t="str">
        <f>IF(Table1345[[#This Row],[Product ID]]="","",SUMIFS(StockOut!F:F,StockOut!B:B,Table1345[[#This Row],[Product ID]]))</f>
        <v/>
      </c>
      <c r="K106" s="10" t="str">
        <f>IF(A105="","",IF(Table1345[[#This Row],[StockonHand]]&lt;5, "Re-Order","Available"))</f>
        <v/>
      </c>
      <c r="L106" s="10" t="str">
        <f>IF(Table1345[[#This Row],[Product ID]]="","",PRODUCT(Table1345[[#This Row],[Beginning Stocks]]-Table1345[[#This Row],[Transact Qty]]))</f>
        <v/>
      </c>
    </row>
    <row r="107" spans="1:12" ht="30" customHeight="1" x14ac:dyDescent="0.3">
      <c r="A107" s="4" t="str">
        <f t="shared" si="3"/>
        <v/>
      </c>
      <c r="B107" s="4" t="str">
        <f>IF(Table1345[[#This Row],[Product ID]]="","",VLOOKUP(Table1345[[#This Row],[Product ID]],data,2,FALSE))</f>
        <v/>
      </c>
      <c r="C107" s="4" t="str">
        <f>IF(Table1345[[#This Row],[Product ID]]="","",VLOOKUP(Table1345[[#This Row],[Product ID]],data,3,FALSE))</f>
        <v/>
      </c>
      <c r="D107" s="7" t="str">
        <f>IF(Table1345[[#This Row],[Product ID]]="","",VLOOKUP(Table1345[[#This Row],[Product ID]],data,4,FALSE))</f>
        <v/>
      </c>
      <c r="E107" s="7" t="str">
        <f>IF(Table1345[[#This Row],[Product ID]]="","",VLOOKUP(Table1345[[#This Row],[Product ID]],data,5,FALSE))</f>
        <v/>
      </c>
      <c r="F107" s="7" t="str">
        <f>IF(Table1345[[#This Row],[Product ID]]="","",SUMIFS(Stockin!F:F,Stockin!A:A,Table1345[[#This Row],[Product ID]]))</f>
        <v/>
      </c>
      <c r="G107" s="7" t="str">
        <f>IF(Table1345[[#This Row],[Product ID]]="","",SUMIFS(StockOut!G:G,StockOut!B:B,Table1345[[#This Row],[Product ID]]))</f>
        <v/>
      </c>
      <c r="H107" s="7" t="str">
        <f>IF(Table1345[[#This Row],[Product ID]]="","",SUM(Table1345[[#This Row],[Unit ]]-Table1345[[#This Row],[Selling Price]])*Table1345[[#This Row],[Transact Qty]])</f>
        <v/>
      </c>
      <c r="I107" s="10" t="str">
        <f>IF(Table1345[[#This Row],[Product ID]]="","",SUMIFS(Stockin!E:E,Stockin!A:A,Table1345[[#This Row],[Product ID]]))</f>
        <v/>
      </c>
      <c r="J107" s="10" t="str">
        <f>IF(Table1345[[#This Row],[Product ID]]="","",SUMIFS(StockOut!F:F,StockOut!B:B,Table1345[[#This Row],[Product ID]]))</f>
        <v/>
      </c>
      <c r="K107" s="10" t="str">
        <f>IF(A106="","",IF(Table1345[[#This Row],[StockonHand]]&lt;5, "Re-Order","Available"))</f>
        <v/>
      </c>
      <c r="L107" s="10" t="str">
        <f>IF(Table1345[[#This Row],[Product ID]]="","",PRODUCT(Table1345[[#This Row],[Beginning Stocks]]-Table1345[[#This Row],[Transact Qty]]))</f>
        <v/>
      </c>
    </row>
    <row r="108" spans="1:12" ht="30" customHeight="1" x14ac:dyDescent="0.3">
      <c r="A108" s="4" t="str">
        <f t="shared" si="3"/>
        <v/>
      </c>
      <c r="B108" s="4" t="str">
        <f>IF(Table1345[[#This Row],[Product ID]]="","",VLOOKUP(Table1345[[#This Row],[Product ID]],data,2,FALSE))</f>
        <v/>
      </c>
      <c r="C108" s="4" t="str">
        <f>IF(Table1345[[#This Row],[Product ID]]="","",VLOOKUP(Table1345[[#This Row],[Product ID]],data,3,FALSE))</f>
        <v/>
      </c>
      <c r="D108" s="7" t="str">
        <f>IF(Table1345[[#This Row],[Product ID]]="","",VLOOKUP(Table1345[[#This Row],[Product ID]],data,4,FALSE))</f>
        <v/>
      </c>
      <c r="E108" s="7" t="str">
        <f>IF(Table1345[[#This Row],[Product ID]]="","",VLOOKUP(Table1345[[#This Row],[Product ID]],data,5,FALSE))</f>
        <v/>
      </c>
      <c r="F108" s="7" t="str">
        <f>IF(Table1345[[#This Row],[Product ID]]="","",SUMIFS(Stockin!F:F,Stockin!A:A,Table1345[[#This Row],[Product ID]]))</f>
        <v/>
      </c>
      <c r="G108" s="7" t="str">
        <f>IF(Table1345[[#This Row],[Product ID]]="","",SUMIFS(StockOut!G:G,StockOut!B:B,Table1345[[#This Row],[Product ID]]))</f>
        <v/>
      </c>
      <c r="H108" s="7" t="str">
        <f>IF(Table1345[[#This Row],[Product ID]]="","",SUM(Table1345[[#This Row],[Unit ]]-Table1345[[#This Row],[Selling Price]])*Table1345[[#This Row],[Transact Qty]])</f>
        <v/>
      </c>
      <c r="I108" s="10" t="str">
        <f>IF(Table1345[[#This Row],[Product ID]]="","",SUMIFS(Stockin!E:E,Stockin!A:A,Table1345[[#This Row],[Product ID]]))</f>
        <v/>
      </c>
      <c r="J108" s="10" t="str">
        <f>IF(Table1345[[#This Row],[Product ID]]="","",SUMIFS(StockOut!F:F,StockOut!B:B,Table1345[[#This Row],[Product ID]]))</f>
        <v/>
      </c>
      <c r="K108" s="10" t="str">
        <f>IF(A107="","",IF(Table1345[[#This Row],[StockonHand]]&lt;5, "Re-Order","Available"))</f>
        <v/>
      </c>
      <c r="L108" s="10" t="str">
        <f>IF(Table1345[[#This Row],[Product ID]]="","",PRODUCT(Table1345[[#This Row],[Beginning Stocks]]-Table1345[[#This Row],[Transact Qty]]))</f>
        <v/>
      </c>
    </row>
    <row r="109" spans="1:12" ht="30" customHeight="1" x14ac:dyDescent="0.3">
      <c r="A109" s="4" t="str">
        <f t="shared" si="3"/>
        <v/>
      </c>
      <c r="B109" s="4" t="str">
        <f>IF(Table1345[[#This Row],[Product ID]]="","",VLOOKUP(Table1345[[#This Row],[Product ID]],data,2,FALSE))</f>
        <v/>
      </c>
      <c r="C109" s="4" t="str">
        <f>IF(Table1345[[#This Row],[Product ID]]="","",VLOOKUP(Table1345[[#This Row],[Product ID]],data,3,FALSE))</f>
        <v/>
      </c>
      <c r="D109" s="7" t="str">
        <f>IF(Table1345[[#This Row],[Product ID]]="","",VLOOKUP(Table1345[[#This Row],[Product ID]],data,4,FALSE))</f>
        <v/>
      </c>
      <c r="E109" s="7" t="str">
        <f>IF(Table1345[[#This Row],[Product ID]]="","",VLOOKUP(Table1345[[#This Row],[Product ID]],data,5,FALSE))</f>
        <v/>
      </c>
      <c r="F109" s="7" t="str">
        <f>IF(Table1345[[#This Row],[Product ID]]="","",SUMIFS(Stockin!F:F,Stockin!A:A,Table1345[[#This Row],[Product ID]]))</f>
        <v/>
      </c>
      <c r="G109" s="7" t="str">
        <f>IF(Table1345[[#This Row],[Product ID]]="","",SUMIFS(StockOut!G:G,StockOut!B:B,Table1345[[#This Row],[Product ID]]))</f>
        <v/>
      </c>
      <c r="H109" s="7" t="str">
        <f>IF(Table1345[[#This Row],[Product ID]]="","",SUM(Table1345[[#This Row],[Unit ]]-Table1345[[#This Row],[Selling Price]])*Table1345[[#This Row],[Transact Qty]])</f>
        <v/>
      </c>
      <c r="I109" s="10" t="str">
        <f>IF(Table1345[[#This Row],[Product ID]]="","",SUMIFS(Stockin!E:E,Stockin!A:A,Table1345[[#This Row],[Product ID]]))</f>
        <v/>
      </c>
      <c r="J109" s="10" t="str">
        <f>IF(Table1345[[#This Row],[Product ID]]="","",SUMIFS(StockOut!F:F,StockOut!B:B,Table1345[[#This Row],[Product ID]]))</f>
        <v/>
      </c>
      <c r="K109" s="10" t="str">
        <f>IF(A108="","",IF(Table1345[[#This Row],[StockonHand]]&lt;5, "Re-Order","Available"))</f>
        <v/>
      </c>
      <c r="L109" s="10" t="str">
        <f>IF(Table1345[[#This Row],[Product ID]]="","",PRODUCT(Table1345[[#This Row],[Beginning Stocks]]-Table1345[[#This Row],[Transact Qty]]))</f>
        <v/>
      </c>
    </row>
    <row r="110" spans="1:12" ht="30" customHeight="1" x14ac:dyDescent="0.3">
      <c r="A110" s="4" t="str">
        <f t="shared" si="3"/>
        <v/>
      </c>
      <c r="B110" s="4" t="str">
        <f>IF(Table1345[[#This Row],[Product ID]]="","",VLOOKUP(Table1345[[#This Row],[Product ID]],data,2,FALSE))</f>
        <v/>
      </c>
      <c r="C110" s="4" t="str">
        <f>IF(Table1345[[#This Row],[Product ID]]="","",VLOOKUP(Table1345[[#This Row],[Product ID]],data,3,FALSE))</f>
        <v/>
      </c>
      <c r="D110" s="7" t="str">
        <f>IF(Table1345[[#This Row],[Product ID]]="","",VLOOKUP(Table1345[[#This Row],[Product ID]],data,4,FALSE))</f>
        <v/>
      </c>
      <c r="E110" s="7" t="str">
        <f>IF(Table1345[[#This Row],[Product ID]]="","",VLOOKUP(Table1345[[#This Row],[Product ID]],data,5,FALSE))</f>
        <v/>
      </c>
      <c r="F110" s="7" t="str">
        <f>IF(Table1345[[#This Row],[Product ID]]="","",SUMIFS(Stockin!F:F,Stockin!A:A,Table1345[[#This Row],[Product ID]]))</f>
        <v/>
      </c>
      <c r="G110" s="7" t="str">
        <f>IF(Table1345[[#This Row],[Product ID]]="","",SUMIFS(StockOut!G:G,StockOut!B:B,Table1345[[#This Row],[Product ID]]))</f>
        <v/>
      </c>
      <c r="H110" s="7" t="str">
        <f>IF(Table1345[[#This Row],[Product ID]]="","",SUM(Table1345[[#This Row],[Unit ]]-Table1345[[#This Row],[Selling Price]])*Table1345[[#This Row],[Transact Qty]])</f>
        <v/>
      </c>
      <c r="I110" s="10" t="str">
        <f>IF(Table1345[[#This Row],[Product ID]]="","",SUMIFS(Stockin!E:E,Stockin!A:A,Table1345[[#This Row],[Product ID]]))</f>
        <v/>
      </c>
      <c r="J110" s="10" t="str">
        <f>IF(Table1345[[#This Row],[Product ID]]="","",SUMIFS(StockOut!F:F,StockOut!B:B,Table1345[[#This Row],[Product ID]]))</f>
        <v/>
      </c>
      <c r="K110" s="10" t="str">
        <f>IF(A109="","",IF(Table1345[[#This Row],[StockonHand]]&lt;5, "Re-Order","Available"))</f>
        <v/>
      </c>
      <c r="L110" s="10" t="str">
        <f>IF(Table1345[[#This Row],[Product ID]]="","",PRODUCT(Table1345[[#This Row],[Beginning Stocks]]-Table1345[[#This Row],[Transact Qty]]))</f>
        <v/>
      </c>
    </row>
    <row r="111" spans="1:12" ht="30" customHeight="1" x14ac:dyDescent="0.3">
      <c r="A111" s="4" t="str">
        <f t="shared" si="3"/>
        <v/>
      </c>
      <c r="B111" s="4" t="str">
        <f>IF(Table1345[[#This Row],[Product ID]]="","",VLOOKUP(Table1345[[#This Row],[Product ID]],data,2,FALSE))</f>
        <v/>
      </c>
      <c r="C111" s="4" t="str">
        <f>IF(Table1345[[#This Row],[Product ID]]="","",VLOOKUP(Table1345[[#This Row],[Product ID]],data,3,FALSE))</f>
        <v/>
      </c>
      <c r="D111" s="7" t="str">
        <f>IF(Table1345[[#This Row],[Product ID]]="","",VLOOKUP(Table1345[[#This Row],[Product ID]],data,4,FALSE))</f>
        <v/>
      </c>
      <c r="E111" s="7" t="str">
        <f>IF(Table1345[[#This Row],[Product ID]]="","",VLOOKUP(Table1345[[#This Row],[Product ID]],data,5,FALSE))</f>
        <v/>
      </c>
      <c r="F111" s="7" t="str">
        <f>IF(Table1345[[#This Row],[Product ID]]="","",SUMIFS(Stockin!F:F,Stockin!A:A,Table1345[[#This Row],[Product ID]]))</f>
        <v/>
      </c>
      <c r="G111" s="7" t="str">
        <f>IF(Table1345[[#This Row],[Product ID]]="","",SUMIFS(StockOut!G:G,StockOut!B:B,Table1345[[#This Row],[Product ID]]))</f>
        <v/>
      </c>
      <c r="H111" s="7" t="str">
        <f>IF(Table1345[[#This Row],[Product ID]]="","",SUM(Table1345[[#This Row],[Unit ]]-Table1345[[#This Row],[Selling Price]])*Table1345[[#This Row],[Transact Qty]])</f>
        <v/>
      </c>
      <c r="I111" s="10" t="str">
        <f>IF(Table1345[[#This Row],[Product ID]]="","",SUMIFS(Stockin!E:E,Stockin!A:A,Table1345[[#This Row],[Product ID]]))</f>
        <v/>
      </c>
      <c r="J111" s="10" t="str">
        <f>IF(Table1345[[#This Row],[Product ID]]="","",SUMIFS(StockOut!F:F,StockOut!B:B,Table1345[[#This Row],[Product ID]]))</f>
        <v/>
      </c>
      <c r="K111" s="10" t="str">
        <f>IF(A110="","",IF(Table1345[[#This Row],[StockonHand]]&lt;5, "Re-Order","Available"))</f>
        <v/>
      </c>
      <c r="L111" s="10" t="str">
        <f>IF(Table1345[[#This Row],[Product ID]]="","",PRODUCT(Table1345[[#This Row],[Beginning Stocks]]-Table1345[[#This Row],[Transact Qty]]))</f>
        <v/>
      </c>
    </row>
    <row r="112" spans="1:12" ht="30" customHeight="1" x14ac:dyDescent="0.3">
      <c r="A112" s="4" t="str">
        <f t="shared" si="3"/>
        <v/>
      </c>
      <c r="B112" s="4" t="str">
        <f>IF(Table1345[[#This Row],[Product ID]]="","",VLOOKUP(Table1345[[#This Row],[Product ID]],data,2,FALSE))</f>
        <v/>
      </c>
      <c r="C112" s="4" t="str">
        <f>IF(Table1345[[#This Row],[Product ID]]="","",VLOOKUP(Table1345[[#This Row],[Product ID]],data,3,FALSE))</f>
        <v/>
      </c>
      <c r="D112" s="7" t="str">
        <f>IF(Table1345[[#This Row],[Product ID]]="","",VLOOKUP(Table1345[[#This Row],[Product ID]],data,4,FALSE))</f>
        <v/>
      </c>
      <c r="E112" s="7" t="str">
        <f>IF(Table1345[[#This Row],[Product ID]]="","",VLOOKUP(Table1345[[#This Row],[Product ID]],data,5,FALSE))</f>
        <v/>
      </c>
      <c r="F112" s="7" t="str">
        <f>IF(Table1345[[#This Row],[Product ID]]="","",SUMIFS(Stockin!F:F,Stockin!A:A,Table1345[[#This Row],[Product ID]]))</f>
        <v/>
      </c>
      <c r="G112" s="7" t="str">
        <f>IF(Table1345[[#This Row],[Product ID]]="","",SUMIFS(StockOut!G:G,StockOut!B:B,Table1345[[#This Row],[Product ID]]))</f>
        <v/>
      </c>
      <c r="H112" s="7" t="str">
        <f>IF(Table1345[[#This Row],[Product ID]]="","",SUM(Table1345[[#This Row],[Unit ]]-Table1345[[#This Row],[Selling Price]])*Table1345[[#This Row],[Transact Qty]])</f>
        <v/>
      </c>
      <c r="I112" s="10" t="str">
        <f>IF(Table1345[[#This Row],[Product ID]]="","",SUMIFS(Stockin!E:E,Stockin!A:A,Table1345[[#This Row],[Product ID]]))</f>
        <v/>
      </c>
      <c r="J112" s="10" t="str">
        <f>IF(Table1345[[#This Row],[Product ID]]="","",SUMIFS(StockOut!F:F,StockOut!B:B,Table1345[[#This Row],[Product ID]]))</f>
        <v/>
      </c>
      <c r="K112" s="10" t="str">
        <f>IF(A111="","",IF(Table1345[[#This Row],[StockonHand]]&lt;5, "Re-Order","Available"))</f>
        <v/>
      </c>
      <c r="L112" s="10" t="str">
        <f>IF(Table1345[[#This Row],[Product ID]]="","",PRODUCT(Table1345[[#This Row],[Beginning Stocks]]-Table1345[[#This Row],[Transact Qty]]))</f>
        <v/>
      </c>
    </row>
    <row r="113" spans="1:12" ht="30" customHeight="1" x14ac:dyDescent="0.3">
      <c r="A113" s="4" t="str">
        <f t="shared" si="3"/>
        <v/>
      </c>
      <c r="B113" s="4" t="str">
        <f>IF(Table1345[[#This Row],[Product ID]]="","",VLOOKUP(Table1345[[#This Row],[Product ID]],data,2,FALSE))</f>
        <v/>
      </c>
      <c r="C113" s="4" t="str">
        <f>IF(Table1345[[#This Row],[Product ID]]="","",VLOOKUP(Table1345[[#This Row],[Product ID]],data,3,FALSE))</f>
        <v/>
      </c>
      <c r="D113" s="7" t="str">
        <f>IF(Table1345[[#This Row],[Product ID]]="","",VLOOKUP(Table1345[[#This Row],[Product ID]],data,4,FALSE))</f>
        <v/>
      </c>
      <c r="E113" s="7" t="str">
        <f>IF(Table1345[[#This Row],[Product ID]]="","",VLOOKUP(Table1345[[#This Row],[Product ID]],data,5,FALSE))</f>
        <v/>
      </c>
      <c r="F113" s="7" t="str">
        <f>IF(Table1345[[#This Row],[Product ID]]="","",SUMIFS(Stockin!F:F,Stockin!A:A,Table1345[[#This Row],[Product ID]]))</f>
        <v/>
      </c>
      <c r="G113" s="7" t="str">
        <f>IF(Table1345[[#This Row],[Product ID]]="","",SUMIFS(StockOut!G:G,StockOut!B:B,Table1345[[#This Row],[Product ID]]))</f>
        <v/>
      </c>
      <c r="H113" s="7" t="str">
        <f>IF(Table1345[[#This Row],[Product ID]]="","",SUM(Table1345[[#This Row],[Unit ]]-Table1345[[#This Row],[Selling Price]])*Table1345[[#This Row],[Transact Qty]])</f>
        <v/>
      </c>
      <c r="I113" s="10" t="str">
        <f>IF(Table1345[[#This Row],[Product ID]]="","",SUMIFS(Stockin!E:E,Stockin!A:A,Table1345[[#This Row],[Product ID]]))</f>
        <v/>
      </c>
      <c r="J113" s="10" t="str">
        <f>IF(Table1345[[#This Row],[Product ID]]="","",SUMIFS(StockOut!F:F,StockOut!B:B,Table1345[[#This Row],[Product ID]]))</f>
        <v/>
      </c>
      <c r="K113" s="10" t="str">
        <f>IF(A112="","",IF(Table1345[[#This Row],[StockonHand]]&lt;5, "Re-Order","Available"))</f>
        <v/>
      </c>
      <c r="L113" s="10" t="str">
        <f>IF(Table1345[[#This Row],[Product ID]]="","",PRODUCT(Table1345[[#This Row],[Beginning Stocks]]-Table1345[[#This Row],[Transact Qty]]))</f>
        <v/>
      </c>
    </row>
    <row r="114" spans="1:12" ht="30" customHeight="1" x14ac:dyDescent="0.3">
      <c r="A114" s="4" t="str">
        <f t="shared" si="3"/>
        <v/>
      </c>
      <c r="B114" s="4" t="str">
        <f>IF(Table1345[[#This Row],[Product ID]]="","",VLOOKUP(Table1345[[#This Row],[Product ID]],data,2,FALSE))</f>
        <v/>
      </c>
      <c r="C114" s="4" t="str">
        <f>IF(Table1345[[#This Row],[Product ID]]="","",VLOOKUP(Table1345[[#This Row],[Product ID]],data,3,FALSE))</f>
        <v/>
      </c>
      <c r="D114" s="7" t="str">
        <f>IF(Table1345[[#This Row],[Product ID]]="","",VLOOKUP(Table1345[[#This Row],[Product ID]],data,4,FALSE))</f>
        <v/>
      </c>
      <c r="E114" s="7" t="str">
        <f>IF(Table1345[[#This Row],[Product ID]]="","",VLOOKUP(Table1345[[#This Row],[Product ID]],data,5,FALSE))</f>
        <v/>
      </c>
      <c r="F114" s="7" t="str">
        <f>IF(Table1345[[#This Row],[Product ID]]="","",SUMIFS(Stockin!F:F,Stockin!A:A,Table1345[[#This Row],[Product ID]]))</f>
        <v/>
      </c>
      <c r="G114" s="7" t="str">
        <f>IF(Table1345[[#This Row],[Product ID]]="","",SUMIFS(StockOut!G:G,StockOut!B:B,Table1345[[#This Row],[Product ID]]))</f>
        <v/>
      </c>
      <c r="H114" s="7" t="str">
        <f>IF(Table1345[[#This Row],[Product ID]]="","",SUM(Table1345[[#This Row],[Unit ]]-Table1345[[#This Row],[Selling Price]])*Table1345[[#This Row],[Transact Qty]])</f>
        <v/>
      </c>
      <c r="I114" s="10" t="str">
        <f>IF(Table1345[[#This Row],[Product ID]]="","",SUMIFS(Stockin!E:E,Stockin!A:A,Table1345[[#This Row],[Product ID]]))</f>
        <v/>
      </c>
      <c r="J114" s="10" t="str">
        <f>IF(Table1345[[#This Row],[Product ID]]="","",SUMIFS(StockOut!F:F,StockOut!B:B,Table1345[[#This Row],[Product ID]]))</f>
        <v/>
      </c>
      <c r="K114" s="10" t="str">
        <f>IF(A113="","",IF(Table1345[[#This Row],[StockonHand]]&lt;5, "Re-Order","Available"))</f>
        <v/>
      </c>
      <c r="L114" s="10" t="str">
        <f>IF(Table1345[[#This Row],[Product ID]]="","",PRODUCT(Table1345[[#This Row],[Beginning Stocks]]-Table1345[[#This Row],[Transact Qty]]))</f>
        <v/>
      </c>
    </row>
    <row r="115" spans="1:12" ht="30" customHeight="1" x14ac:dyDescent="0.3">
      <c r="A115" s="4" t="str">
        <f t="shared" si="3"/>
        <v/>
      </c>
      <c r="B115" s="4" t="str">
        <f>IF(Table1345[[#This Row],[Product ID]]="","",VLOOKUP(Table1345[[#This Row],[Product ID]],data,2,FALSE))</f>
        <v/>
      </c>
      <c r="C115" s="4" t="str">
        <f>IF(Table1345[[#This Row],[Product ID]]="","",VLOOKUP(Table1345[[#This Row],[Product ID]],data,3,FALSE))</f>
        <v/>
      </c>
      <c r="D115" s="7" t="str">
        <f>IF(Table1345[[#This Row],[Product ID]]="","",VLOOKUP(Table1345[[#This Row],[Product ID]],data,4,FALSE))</f>
        <v/>
      </c>
      <c r="E115" s="7" t="str">
        <f>IF(Table1345[[#This Row],[Product ID]]="","",VLOOKUP(Table1345[[#This Row],[Product ID]],data,5,FALSE))</f>
        <v/>
      </c>
      <c r="F115" s="7" t="str">
        <f>IF(Table1345[[#This Row],[Product ID]]="","",SUMIFS(Stockin!F:F,Stockin!A:A,Table1345[[#This Row],[Product ID]]))</f>
        <v/>
      </c>
      <c r="G115" s="7" t="str">
        <f>IF(Table1345[[#This Row],[Product ID]]="","",SUMIFS(StockOut!G:G,StockOut!B:B,Table1345[[#This Row],[Product ID]]))</f>
        <v/>
      </c>
      <c r="H115" s="7" t="str">
        <f>IF(Table1345[[#This Row],[Product ID]]="","",SUM(Table1345[[#This Row],[Unit ]]-Table1345[[#This Row],[Selling Price]])*Table1345[[#This Row],[Transact Qty]])</f>
        <v/>
      </c>
      <c r="I115" s="10" t="str">
        <f>IF(Table1345[[#This Row],[Product ID]]="","",SUMIFS(Stockin!E:E,Stockin!A:A,Table1345[[#This Row],[Product ID]]))</f>
        <v/>
      </c>
      <c r="J115" s="10" t="str">
        <f>IF(Table1345[[#This Row],[Product ID]]="","",SUMIFS(StockOut!F:F,StockOut!B:B,Table1345[[#This Row],[Product ID]]))</f>
        <v/>
      </c>
      <c r="K115" s="10" t="str">
        <f>IF(A114="","",IF(Table1345[[#This Row],[StockonHand]]&lt;5, "Re-Order","Available"))</f>
        <v/>
      </c>
      <c r="L115" s="10" t="str">
        <f>IF(Table1345[[#This Row],[Product ID]]="","",PRODUCT(Table1345[[#This Row],[Beginning Stocks]]-Table1345[[#This Row],[Transact Qty]]))</f>
        <v/>
      </c>
    </row>
    <row r="116" spans="1:12" ht="30" customHeight="1" x14ac:dyDescent="0.3">
      <c r="A116" s="4" t="str">
        <f t="shared" si="3"/>
        <v/>
      </c>
      <c r="B116" s="4" t="str">
        <f>IF(Table1345[[#This Row],[Product ID]]="","",VLOOKUP(Table1345[[#This Row],[Product ID]],data,2,FALSE))</f>
        <v/>
      </c>
      <c r="C116" s="4" t="str">
        <f>IF(Table1345[[#This Row],[Product ID]]="","",VLOOKUP(Table1345[[#This Row],[Product ID]],data,3,FALSE))</f>
        <v/>
      </c>
      <c r="D116" s="7" t="str">
        <f>IF(Table1345[[#This Row],[Product ID]]="","",VLOOKUP(Table1345[[#This Row],[Product ID]],data,4,FALSE))</f>
        <v/>
      </c>
      <c r="E116" s="7" t="str">
        <f>IF(Table1345[[#This Row],[Product ID]]="","",VLOOKUP(Table1345[[#This Row],[Product ID]],data,5,FALSE))</f>
        <v/>
      </c>
      <c r="F116" s="7" t="str">
        <f>IF(Table1345[[#This Row],[Product ID]]="","",SUMIFS(Stockin!F:F,Stockin!A:A,Table1345[[#This Row],[Product ID]]))</f>
        <v/>
      </c>
      <c r="G116" s="7" t="str">
        <f>IF(Table1345[[#This Row],[Product ID]]="","",SUMIFS(StockOut!G:G,StockOut!B:B,Table1345[[#This Row],[Product ID]]))</f>
        <v/>
      </c>
      <c r="H116" s="7" t="str">
        <f>IF(Table1345[[#This Row],[Product ID]]="","",SUM(Table1345[[#This Row],[Unit ]]-Table1345[[#This Row],[Selling Price]])*Table1345[[#This Row],[Transact Qty]])</f>
        <v/>
      </c>
      <c r="I116" s="10" t="str">
        <f>IF(Table1345[[#This Row],[Product ID]]="","",SUMIFS(Stockin!E:E,Stockin!A:A,Table1345[[#This Row],[Product ID]]))</f>
        <v/>
      </c>
      <c r="J116" s="10" t="str">
        <f>IF(Table1345[[#This Row],[Product ID]]="","",SUMIFS(StockOut!F:F,StockOut!B:B,Table1345[[#This Row],[Product ID]]))</f>
        <v/>
      </c>
      <c r="K116" s="10" t="str">
        <f>IF(A115="","",IF(Table1345[[#This Row],[StockonHand]]&lt;5, "Re-Order","Available"))</f>
        <v/>
      </c>
      <c r="L116" s="10" t="str">
        <f>IF(Table1345[[#This Row],[Product ID]]="","",PRODUCT(Table1345[[#This Row],[Beginning Stocks]]-Table1345[[#This Row],[Transact Qty]]))</f>
        <v/>
      </c>
    </row>
    <row r="117" spans="1:12" ht="30" customHeight="1" x14ac:dyDescent="0.3">
      <c r="A117" s="4" t="str">
        <f t="shared" si="3"/>
        <v/>
      </c>
      <c r="B117" s="4" t="str">
        <f>IF(Table1345[[#This Row],[Product ID]]="","",VLOOKUP(Table1345[[#This Row],[Product ID]],data,2,FALSE))</f>
        <v/>
      </c>
      <c r="C117" s="4" t="str">
        <f>IF(Table1345[[#This Row],[Product ID]]="","",VLOOKUP(Table1345[[#This Row],[Product ID]],data,3,FALSE))</f>
        <v/>
      </c>
      <c r="D117" s="7" t="str">
        <f>IF(Table1345[[#This Row],[Product ID]]="","",VLOOKUP(Table1345[[#This Row],[Product ID]],data,4,FALSE))</f>
        <v/>
      </c>
      <c r="E117" s="7" t="str">
        <f>IF(Table1345[[#This Row],[Product ID]]="","",VLOOKUP(Table1345[[#This Row],[Product ID]],data,5,FALSE))</f>
        <v/>
      </c>
      <c r="F117" s="7" t="str">
        <f>IF(Table1345[[#This Row],[Product ID]]="","",SUMIFS(Stockin!F:F,Stockin!A:A,Table1345[[#This Row],[Product ID]]))</f>
        <v/>
      </c>
      <c r="G117" s="7" t="str">
        <f>IF(Table1345[[#This Row],[Product ID]]="","",SUMIFS(StockOut!G:G,StockOut!B:B,Table1345[[#This Row],[Product ID]]))</f>
        <v/>
      </c>
      <c r="H117" s="7" t="str">
        <f>IF(Table1345[[#This Row],[Product ID]]="","",SUM(Table1345[[#This Row],[Unit ]]-Table1345[[#This Row],[Selling Price]])*Table1345[[#This Row],[Transact Qty]])</f>
        <v/>
      </c>
      <c r="I117" s="10" t="str">
        <f>IF(Table1345[[#This Row],[Product ID]]="","",SUMIFS(Stockin!E:E,Stockin!A:A,Table1345[[#This Row],[Product ID]]))</f>
        <v/>
      </c>
      <c r="J117" s="10" t="str">
        <f>IF(Table1345[[#This Row],[Product ID]]="","",SUMIFS(StockOut!F:F,StockOut!B:B,Table1345[[#This Row],[Product ID]]))</f>
        <v/>
      </c>
      <c r="K117" s="10" t="str">
        <f>IF(A116="","",IF(Table1345[[#This Row],[StockonHand]]&lt;5, "Re-Order","Available"))</f>
        <v/>
      </c>
      <c r="L117" s="10" t="str">
        <f>IF(Table1345[[#This Row],[Product ID]]="","",PRODUCT(Table1345[[#This Row],[Beginning Stocks]]-Table1345[[#This Row],[Transact Qty]]))</f>
        <v/>
      </c>
    </row>
    <row r="118" spans="1:12" ht="30" customHeight="1" x14ac:dyDescent="0.3">
      <c r="A118" s="4" t="str">
        <f t="shared" si="3"/>
        <v/>
      </c>
      <c r="B118" s="4" t="str">
        <f>IF(Table1345[[#This Row],[Product ID]]="","",VLOOKUP(Table1345[[#This Row],[Product ID]],data,2,FALSE))</f>
        <v/>
      </c>
      <c r="C118" s="4" t="str">
        <f>IF(Table1345[[#This Row],[Product ID]]="","",VLOOKUP(Table1345[[#This Row],[Product ID]],data,3,FALSE))</f>
        <v/>
      </c>
      <c r="D118" s="7" t="str">
        <f>IF(Table1345[[#This Row],[Product ID]]="","",VLOOKUP(Table1345[[#This Row],[Product ID]],data,4,FALSE))</f>
        <v/>
      </c>
      <c r="E118" s="7" t="str">
        <f>IF(Table1345[[#This Row],[Product ID]]="","",VLOOKUP(Table1345[[#This Row],[Product ID]],data,5,FALSE))</f>
        <v/>
      </c>
      <c r="F118" s="7" t="str">
        <f>IF(Table1345[[#This Row],[Product ID]]="","",SUMIFS(Stockin!F:F,Stockin!A:A,Table1345[[#This Row],[Product ID]]))</f>
        <v/>
      </c>
      <c r="G118" s="7" t="str">
        <f>IF(Table1345[[#This Row],[Product ID]]="","",SUMIFS(StockOut!G:G,StockOut!B:B,Table1345[[#This Row],[Product ID]]))</f>
        <v/>
      </c>
      <c r="H118" s="7" t="str">
        <f>IF(Table1345[[#This Row],[Product ID]]="","",SUM(Table1345[[#This Row],[Unit ]]-Table1345[[#This Row],[Selling Price]])*Table1345[[#This Row],[Transact Qty]])</f>
        <v/>
      </c>
      <c r="I118" s="10" t="str">
        <f>IF(Table1345[[#This Row],[Product ID]]="","",SUMIFS(Stockin!E:E,Stockin!A:A,Table1345[[#This Row],[Product ID]]))</f>
        <v/>
      </c>
      <c r="J118" s="10" t="str">
        <f>IF(Table1345[[#This Row],[Product ID]]="","",SUMIFS(StockOut!F:F,StockOut!B:B,Table1345[[#This Row],[Product ID]]))</f>
        <v/>
      </c>
      <c r="K118" s="10" t="str">
        <f>IF(A117="","",IF(Table1345[[#This Row],[StockonHand]]&lt;5, "Re-Order","Available"))</f>
        <v/>
      </c>
      <c r="L118" s="10" t="str">
        <f>IF(Table1345[[#This Row],[Product ID]]="","",PRODUCT(Table1345[[#This Row],[Beginning Stocks]]-Table1345[[#This Row],[Transact Qty]]))</f>
        <v/>
      </c>
    </row>
    <row r="119" spans="1:12" ht="30" customHeight="1" x14ac:dyDescent="0.3">
      <c r="A119" s="4" t="str">
        <f t="shared" si="3"/>
        <v/>
      </c>
      <c r="B119" s="4" t="str">
        <f>IF(Table1345[[#This Row],[Product ID]]="","",VLOOKUP(Table1345[[#This Row],[Product ID]],data,2,FALSE))</f>
        <v/>
      </c>
      <c r="C119" s="4" t="str">
        <f>IF(Table1345[[#This Row],[Product ID]]="","",VLOOKUP(Table1345[[#This Row],[Product ID]],data,3,FALSE))</f>
        <v/>
      </c>
      <c r="D119" s="7" t="str">
        <f>IF(Table1345[[#This Row],[Product ID]]="","",VLOOKUP(Table1345[[#This Row],[Product ID]],data,4,FALSE))</f>
        <v/>
      </c>
      <c r="E119" s="7" t="str">
        <f>IF(Table1345[[#This Row],[Product ID]]="","",VLOOKUP(Table1345[[#This Row],[Product ID]],data,5,FALSE))</f>
        <v/>
      </c>
      <c r="F119" s="7" t="str">
        <f>IF(Table1345[[#This Row],[Product ID]]="","",SUMIFS(Stockin!F:F,Stockin!A:A,Table1345[[#This Row],[Product ID]]))</f>
        <v/>
      </c>
      <c r="G119" s="7" t="str">
        <f>IF(Table1345[[#This Row],[Product ID]]="","",SUMIFS(StockOut!G:G,StockOut!B:B,Table1345[[#This Row],[Product ID]]))</f>
        <v/>
      </c>
      <c r="H119" s="7" t="str">
        <f>IF(Table1345[[#This Row],[Product ID]]="","",SUM(Table1345[[#This Row],[Unit ]]-Table1345[[#This Row],[Selling Price]])*Table1345[[#This Row],[Transact Qty]])</f>
        <v/>
      </c>
      <c r="I119" s="10" t="str">
        <f>IF(Table1345[[#This Row],[Product ID]]="","",SUMIFS(Stockin!E:E,Stockin!A:A,Table1345[[#This Row],[Product ID]]))</f>
        <v/>
      </c>
      <c r="J119" s="10" t="str">
        <f>IF(Table1345[[#This Row],[Product ID]]="","",SUMIFS(StockOut!F:F,StockOut!B:B,Table1345[[#This Row],[Product ID]]))</f>
        <v/>
      </c>
      <c r="K119" s="10" t="str">
        <f>IF(A118="","",IF(Table1345[[#This Row],[StockonHand]]&lt;5, "Re-Order","Available"))</f>
        <v/>
      </c>
      <c r="L119" s="10" t="str">
        <f>IF(Table1345[[#This Row],[Product ID]]="","",PRODUCT(Table1345[[#This Row],[Beginning Stocks]]-Table1345[[#This Row],[Transact Qty]]))</f>
        <v/>
      </c>
    </row>
    <row r="120" spans="1:12" ht="30" customHeight="1" x14ac:dyDescent="0.3">
      <c r="A120" s="4" t="str">
        <f t="shared" si="3"/>
        <v/>
      </c>
      <c r="B120" s="4" t="str">
        <f>IF(Table1345[[#This Row],[Product ID]]="","",VLOOKUP(Table1345[[#This Row],[Product ID]],data,2,FALSE))</f>
        <v/>
      </c>
      <c r="C120" s="4" t="str">
        <f>IF(Table1345[[#This Row],[Product ID]]="","",VLOOKUP(Table1345[[#This Row],[Product ID]],data,3,FALSE))</f>
        <v/>
      </c>
      <c r="D120" s="7" t="str">
        <f>IF(Table1345[[#This Row],[Product ID]]="","",VLOOKUP(Table1345[[#This Row],[Product ID]],data,4,FALSE))</f>
        <v/>
      </c>
      <c r="E120" s="7" t="str">
        <f>IF(Table1345[[#This Row],[Product ID]]="","",VLOOKUP(Table1345[[#This Row],[Product ID]],data,5,FALSE))</f>
        <v/>
      </c>
      <c r="F120" s="7" t="str">
        <f>IF(Table1345[[#This Row],[Product ID]]="","",SUMIFS(Stockin!F:F,Stockin!A:A,Table1345[[#This Row],[Product ID]]))</f>
        <v/>
      </c>
      <c r="G120" s="7" t="str">
        <f>IF(Table1345[[#This Row],[Product ID]]="","",SUMIFS(StockOut!G:G,StockOut!B:B,Table1345[[#This Row],[Product ID]]))</f>
        <v/>
      </c>
      <c r="H120" s="7" t="str">
        <f>IF(Table1345[[#This Row],[Product ID]]="","",SUM(Table1345[[#This Row],[Unit ]]-Table1345[[#This Row],[Selling Price]])*Table1345[[#This Row],[Transact Qty]])</f>
        <v/>
      </c>
      <c r="I120" s="10" t="str">
        <f>IF(Table1345[[#This Row],[Product ID]]="","",SUMIFS(Stockin!E:E,Stockin!A:A,Table1345[[#This Row],[Product ID]]))</f>
        <v/>
      </c>
      <c r="J120" s="10" t="str">
        <f>IF(Table1345[[#This Row],[Product ID]]="","",SUMIFS(StockOut!F:F,StockOut!B:B,Table1345[[#This Row],[Product ID]]))</f>
        <v/>
      </c>
      <c r="K120" s="10" t="str">
        <f>IF(A119="","",IF(Table1345[[#This Row],[StockonHand]]&lt;5, "Re-Order","Available"))</f>
        <v/>
      </c>
      <c r="L120" s="10" t="str">
        <f>IF(Table1345[[#This Row],[Product ID]]="","",PRODUCT(Table1345[[#This Row],[Beginning Stocks]]-Table1345[[#This Row],[Transact Qty]]))</f>
        <v/>
      </c>
    </row>
    <row r="121" spans="1:12" ht="30" customHeight="1" x14ac:dyDescent="0.3">
      <c r="A121" s="4" t="str">
        <f t="shared" si="3"/>
        <v/>
      </c>
      <c r="B121" s="4" t="str">
        <f>IF(Table1345[[#This Row],[Product ID]]="","",VLOOKUP(Table1345[[#This Row],[Product ID]],data,2,FALSE))</f>
        <v/>
      </c>
      <c r="C121" s="4" t="str">
        <f>IF(Table1345[[#This Row],[Product ID]]="","",VLOOKUP(Table1345[[#This Row],[Product ID]],data,3,FALSE))</f>
        <v/>
      </c>
      <c r="D121" s="7" t="str">
        <f>IF(Table1345[[#This Row],[Product ID]]="","",VLOOKUP(Table1345[[#This Row],[Product ID]],data,4,FALSE))</f>
        <v/>
      </c>
      <c r="E121" s="7" t="str">
        <f>IF(Table1345[[#This Row],[Product ID]]="","",VLOOKUP(Table1345[[#This Row],[Product ID]],data,5,FALSE))</f>
        <v/>
      </c>
      <c r="F121" s="7" t="str">
        <f>IF(Table1345[[#This Row],[Product ID]]="","",SUMIFS(Stockin!F:F,Stockin!A:A,Table1345[[#This Row],[Product ID]]))</f>
        <v/>
      </c>
      <c r="G121" s="7" t="str">
        <f>IF(Table1345[[#This Row],[Product ID]]="","",SUMIFS(StockOut!G:G,StockOut!B:B,Table1345[[#This Row],[Product ID]]))</f>
        <v/>
      </c>
      <c r="H121" s="7" t="str">
        <f>IF(Table1345[[#This Row],[Product ID]]="","",SUM(Table1345[[#This Row],[Unit ]]-Table1345[[#This Row],[Selling Price]])*Table1345[[#This Row],[Transact Qty]])</f>
        <v/>
      </c>
      <c r="I121" s="10" t="str">
        <f>IF(Table1345[[#This Row],[Product ID]]="","",SUMIFS(Stockin!E:E,Stockin!A:A,Table1345[[#This Row],[Product ID]]))</f>
        <v/>
      </c>
      <c r="J121" s="10" t="str">
        <f>IF(Table1345[[#This Row],[Product ID]]="","",SUMIFS(StockOut!F:F,StockOut!B:B,Table1345[[#This Row],[Product ID]]))</f>
        <v/>
      </c>
      <c r="K121" s="10" t="str">
        <f>IF(A120="","",IF(Table1345[[#This Row],[StockonHand]]&lt;5, "Re-Order","Available"))</f>
        <v/>
      </c>
      <c r="L121" s="10" t="str">
        <f>IF(Table1345[[#This Row],[Product ID]]="","",PRODUCT(Table1345[[#This Row],[Beginning Stocks]]-Table1345[[#This Row],[Transact Qty]]))</f>
        <v/>
      </c>
    </row>
    <row r="122" spans="1:12" ht="30" customHeight="1" x14ac:dyDescent="0.3">
      <c r="A122" s="4" t="str">
        <f t="shared" si="3"/>
        <v/>
      </c>
      <c r="B122" s="4" t="str">
        <f>IF(Table1345[[#This Row],[Product ID]]="","",VLOOKUP(Table1345[[#This Row],[Product ID]],data,2,FALSE))</f>
        <v/>
      </c>
      <c r="C122" s="4" t="str">
        <f>IF(Table1345[[#This Row],[Product ID]]="","",VLOOKUP(Table1345[[#This Row],[Product ID]],data,3,FALSE))</f>
        <v/>
      </c>
      <c r="D122" s="7" t="str">
        <f>IF(Table1345[[#This Row],[Product ID]]="","",VLOOKUP(Table1345[[#This Row],[Product ID]],data,4,FALSE))</f>
        <v/>
      </c>
      <c r="E122" s="7" t="str">
        <f>IF(Table1345[[#This Row],[Product ID]]="","",VLOOKUP(Table1345[[#This Row],[Product ID]],data,5,FALSE))</f>
        <v/>
      </c>
      <c r="F122" s="7" t="str">
        <f>IF(Table1345[[#This Row],[Product ID]]="","",SUMIFS(Stockin!F:F,Stockin!A:A,Table1345[[#This Row],[Product ID]]))</f>
        <v/>
      </c>
      <c r="G122" s="7" t="str">
        <f>IF(Table1345[[#This Row],[Product ID]]="","",SUMIFS(StockOut!G:G,StockOut!B:B,Table1345[[#This Row],[Product ID]]))</f>
        <v/>
      </c>
      <c r="H122" s="7" t="str">
        <f>IF(Table1345[[#This Row],[Product ID]]="","",SUM(Table1345[[#This Row],[Unit ]]-Table1345[[#This Row],[Selling Price]])*Table1345[[#This Row],[Transact Qty]])</f>
        <v/>
      </c>
      <c r="I122" s="10" t="str">
        <f>IF(Table1345[[#This Row],[Product ID]]="","",SUMIFS(Stockin!E:E,Stockin!A:A,Table1345[[#This Row],[Product ID]]))</f>
        <v/>
      </c>
      <c r="J122" s="10" t="str">
        <f>IF(Table1345[[#This Row],[Product ID]]="","",SUMIFS(StockOut!F:F,StockOut!B:B,Table1345[[#This Row],[Product ID]]))</f>
        <v/>
      </c>
      <c r="K122" s="10" t="str">
        <f>IF(A121="","",IF(Table1345[[#This Row],[StockonHand]]&lt;5, "Re-Order","Available"))</f>
        <v/>
      </c>
      <c r="L122" s="10" t="str">
        <f>IF(Table1345[[#This Row],[Product ID]]="","",PRODUCT(Table1345[[#This Row],[Beginning Stocks]]-Table1345[[#This Row],[Transact Qty]]))</f>
        <v/>
      </c>
    </row>
    <row r="123" spans="1:12" ht="30" customHeight="1" x14ac:dyDescent="0.3">
      <c r="A123" s="4" t="str">
        <f t="shared" si="3"/>
        <v/>
      </c>
      <c r="B123" s="4" t="str">
        <f>IF(Table1345[[#This Row],[Product ID]]="","",VLOOKUP(Table1345[[#This Row],[Product ID]],data,2,FALSE))</f>
        <v/>
      </c>
      <c r="C123" s="4" t="str">
        <f>IF(Table1345[[#This Row],[Product ID]]="","",VLOOKUP(Table1345[[#This Row],[Product ID]],data,3,FALSE))</f>
        <v/>
      </c>
      <c r="D123" s="7" t="str">
        <f>IF(Table1345[[#This Row],[Product ID]]="","",VLOOKUP(Table1345[[#This Row],[Product ID]],data,4,FALSE))</f>
        <v/>
      </c>
      <c r="E123" s="7" t="str">
        <f>IF(Table1345[[#This Row],[Product ID]]="","",VLOOKUP(Table1345[[#This Row],[Product ID]],data,5,FALSE))</f>
        <v/>
      </c>
      <c r="F123" s="7" t="str">
        <f>IF(Table1345[[#This Row],[Product ID]]="","",SUMIFS(Stockin!F:F,Stockin!A:A,Table1345[[#This Row],[Product ID]]))</f>
        <v/>
      </c>
      <c r="G123" s="7" t="str">
        <f>IF(Table1345[[#This Row],[Product ID]]="","",SUMIFS(StockOut!G:G,StockOut!B:B,Table1345[[#This Row],[Product ID]]))</f>
        <v/>
      </c>
      <c r="H123" s="7" t="str">
        <f>IF(Table1345[[#This Row],[Product ID]]="","",SUM(Table1345[[#This Row],[Unit ]]-Table1345[[#This Row],[Selling Price]])*Table1345[[#This Row],[Transact Qty]])</f>
        <v/>
      </c>
      <c r="I123" s="10" t="str">
        <f>IF(Table1345[[#This Row],[Product ID]]="","",SUMIFS(Stockin!E:E,Stockin!A:A,Table1345[[#This Row],[Product ID]]))</f>
        <v/>
      </c>
      <c r="J123" s="10" t="str">
        <f>IF(Table1345[[#This Row],[Product ID]]="","",SUMIFS(StockOut!F:F,StockOut!B:B,Table1345[[#This Row],[Product ID]]))</f>
        <v/>
      </c>
      <c r="K123" s="10" t="str">
        <f>IF(A122="","",IF(Table1345[[#This Row],[StockonHand]]&lt;5, "Re-Order","Available"))</f>
        <v/>
      </c>
      <c r="L123" s="10" t="str">
        <f>IF(Table1345[[#This Row],[Product ID]]="","",PRODUCT(Table1345[[#This Row],[Beginning Stocks]]-Table1345[[#This Row],[Transact Qty]]))</f>
        <v/>
      </c>
    </row>
    <row r="124" spans="1:12" ht="30" customHeight="1" x14ac:dyDescent="0.3">
      <c r="A124" s="4" t="str">
        <f t="shared" si="3"/>
        <v/>
      </c>
      <c r="B124" s="4" t="str">
        <f>IF(Table1345[[#This Row],[Product ID]]="","",VLOOKUP(Table1345[[#This Row],[Product ID]],data,2,FALSE))</f>
        <v/>
      </c>
      <c r="C124" s="4" t="str">
        <f>IF(Table1345[[#This Row],[Product ID]]="","",VLOOKUP(Table1345[[#This Row],[Product ID]],data,3,FALSE))</f>
        <v/>
      </c>
      <c r="D124" s="7" t="str">
        <f>IF(Table1345[[#This Row],[Product ID]]="","",VLOOKUP(Table1345[[#This Row],[Product ID]],data,4,FALSE))</f>
        <v/>
      </c>
      <c r="E124" s="7" t="str">
        <f>IF(Table1345[[#This Row],[Product ID]]="","",VLOOKUP(Table1345[[#This Row],[Product ID]],data,5,FALSE))</f>
        <v/>
      </c>
      <c r="F124" s="7" t="str">
        <f>IF(Table1345[[#This Row],[Product ID]]="","",SUMIFS(Stockin!F:F,Stockin!A:A,Table1345[[#This Row],[Product ID]]))</f>
        <v/>
      </c>
      <c r="G124" s="7" t="str">
        <f>IF(Table1345[[#This Row],[Product ID]]="","",SUMIFS(StockOut!G:G,StockOut!B:B,Table1345[[#This Row],[Product ID]]))</f>
        <v/>
      </c>
      <c r="H124" s="7" t="str">
        <f>IF(Table1345[[#This Row],[Product ID]]="","",SUM(Table1345[[#This Row],[Unit ]]-Table1345[[#This Row],[Selling Price]])*Table1345[[#This Row],[Transact Qty]])</f>
        <v/>
      </c>
      <c r="I124" s="10" t="str">
        <f>IF(Table1345[[#This Row],[Product ID]]="","",SUMIFS(Stockin!E:E,Stockin!A:A,Table1345[[#This Row],[Product ID]]))</f>
        <v/>
      </c>
      <c r="J124" s="10" t="str">
        <f>IF(Table1345[[#This Row],[Product ID]]="","",SUMIFS(StockOut!F:F,StockOut!B:B,Table1345[[#This Row],[Product ID]]))</f>
        <v/>
      </c>
      <c r="K124" s="10" t="str">
        <f>IF(A123="","",IF(Table1345[[#This Row],[StockonHand]]&lt;5, "Re-Order","Available"))</f>
        <v/>
      </c>
      <c r="L124" s="10" t="str">
        <f>IF(Table1345[[#This Row],[Product ID]]="","",PRODUCT(Table1345[[#This Row],[Beginning Stocks]]-Table1345[[#This Row],[Transact Qty]]))</f>
        <v/>
      </c>
    </row>
    <row r="125" spans="1:12" ht="30" customHeight="1" x14ac:dyDescent="0.3">
      <c r="A125" s="4" t="str">
        <f t="shared" si="3"/>
        <v/>
      </c>
      <c r="B125" s="4" t="str">
        <f>IF(Table1345[[#This Row],[Product ID]]="","",VLOOKUP(Table1345[[#This Row],[Product ID]],data,2,FALSE))</f>
        <v/>
      </c>
      <c r="C125" s="4" t="str">
        <f>IF(Table1345[[#This Row],[Product ID]]="","",VLOOKUP(Table1345[[#This Row],[Product ID]],data,3,FALSE))</f>
        <v/>
      </c>
      <c r="D125" s="7" t="str">
        <f>IF(Table1345[[#This Row],[Product ID]]="","",VLOOKUP(Table1345[[#This Row],[Product ID]],data,4,FALSE))</f>
        <v/>
      </c>
      <c r="E125" s="7" t="str">
        <f>IF(Table1345[[#This Row],[Product ID]]="","",VLOOKUP(Table1345[[#This Row],[Product ID]],data,5,FALSE))</f>
        <v/>
      </c>
      <c r="F125" s="7" t="str">
        <f>IF(Table1345[[#This Row],[Product ID]]="","",SUMIFS(Stockin!F:F,Stockin!A:A,Table1345[[#This Row],[Product ID]]))</f>
        <v/>
      </c>
      <c r="G125" s="7" t="str">
        <f>IF(Table1345[[#This Row],[Product ID]]="","",SUMIFS(StockOut!G:G,StockOut!B:B,Table1345[[#This Row],[Product ID]]))</f>
        <v/>
      </c>
      <c r="H125" s="7" t="str">
        <f>IF(Table1345[[#This Row],[Product ID]]="","",SUM(Table1345[[#This Row],[Unit ]]-Table1345[[#This Row],[Selling Price]])*Table1345[[#This Row],[Transact Qty]])</f>
        <v/>
      </c>
      <c r="I125" s="10" t="str">
        <f>IF(Table1345[[#This Row],[Product ID]]="","",SUMIFS(Stockin!E:E,Stockin!A:A,Table1345[[#This Row],[Product ID]]))</f>
        <v/>
      </c>
      <c r="J125" s="10" t="str">
        <f>IF(Table1345[[#This Row],[Product ID]]="","",SUMIFS(StockOut!F:F,StockOut!B:B,Table1345[[#This Row],[Product ID]]))</f>
        <v/>
      </c>
      <c r="K125" s="10" t="str">
        <f>IF(A124="","",IF(Table1345[[#This Row],[StockonHand]]&lt;5, "Re-Order","Available"))</f>
        <v/>
      </c>
      <c r="L125" s="10" t="str">
        <f>IF(Table1345[[#This Row],[Product ID]]="","",PRODUCT(Table1345[[#This Row],[Beginning Stocks]]-Table1345[[#This Row],[Transact Qty]]))</f>
        <v/>
      </c>
    </row>
    <row r="126" spans="1:12" ht="30" customHeight="1" x14ac:dyDescent="0.3">
      <c r="A126" s="4" t="str">
        <f t="shared" si="3"/>
        <v/>
      </c>
      <c r="B126" s="4" t="str">
        <f>IF(Table1345[[#This Row],[Product ID]]="","",VLOOKUP(Table1345[[#This Row],[Product ID]],data,2,FALSE))</f>
        <v/>
      </c>
      <c r="C126" s="4" t="str">
        <f>IF(Table1345[[#This Row],[Product ID]]="","",VLOOKUP(Table1345[[#This Row],[Product ID]],data,3,FALSE))</f>
        <v/>
      </c>
      <c r="D126" s="7" t="str">
        <f>IF(Table1345[[#This Row],[Product ID]]="","",VLOOKUP(Table1345[[#This Row],[Product ID]],data,4,FALSE))</f>
        <v/>
      </c>
      <c r="E126" s="7" t="str">
        <f>IF(Table1345[[#This Row],[Product ID]]="","",VLOOKUP(Table1345[[#This Row],[Product ID]],data,5,FALSE))</f>
        <v/>
      </c>
      <c r="F126" s="7" t="str">
        <f>IF(Table1345[[#This Row],[Product ID]]="","",SUMIFS(Stockin!F:F,Stockin!A:A,Table1345[[#This Row],[Product ID]]))</f>
        <v/>
      </c>
      <c r="G126" s="7" t="str">
        <f>IF(Table1345[[#This Row],[Product ID]]="","",SUMIFS(StockOut!G:G,StockOut!B:B,Table1345[[#This Row],[Product ID]]))</f>
        <v/>
      </c>
      <c r="H126" s="7" t="str">
        <f>IF(Table1345[[#This Row],[Product ID]]="","",SUM(Table1345[[#This Row],[Unit ]]-Table1345[[#This Row],[Selling Price]])*Table1345[[#This Row],[Transact Qty]])</f>
        <v/>
      </c>
      <c r="I126" s="10" t="str">
        <f>IF(Table1345[[#This Row],[Product ID]]="","",SUMIFS(Stockin!E:E,Stockin!A:A,Table1345[[#This Row],[Product ID]]))</f>
        <v/>
      </c>
      <c r="J126" s="10" t="str">
        <f>IF(Table1345[[#This Row],[Product ID]]="","",SUMIFS(StockOut!F:F,StockOut!B:B,Table1345[[#This Row],[Product ID]]))</f>
        <v/>
      </c>
      <c r="K126" s="10" t="str">
        <f>IF(A125="","",IF(Table1345[[#This Row],[StockonHand]]&lt;5, "Re-Order","Available"))</f>
        <v/>
      </c>
      <c r="L126" s="10" t="str">
        <f>IF(Table1345[[#This Row],[Product ID]]="","",PRODUCT(Table1345[[#This Row],[Beginning Stocks]]-Table1345[[#This Row],[Transact Qty]]))</f>
        <v/>
      </c>
    </row>
    <row r="127" spans="1:12" ht="30" customHeight="1" x14ac:dyDescent="0.3">
      <c r="A127" s="4" t="str">
        <f t="shared" si="3"/>
        <v/>
      </c>
      <c r="B127" s="4" t="str">
        <f>IF(Table1345[[#This Row],[Product ID]]="","",VLOOKUP(Table1345[[#This Row],[Product ID]],data,2,FALSE))</f>
        <v/>
      </c>
      <c r="C127" s="4" t="str">
        <f>IF(Table1345[[#This Row],[Product ID]]="","",VLOOKUP(Table1345[[#This Row],[Product ID]],data,3,FALSE))</f>
        <v/>
      </c>
      <c r="D127" s="7" t="str">
        <f>IF(Table1345[[#This Row],[Product ID]]="","",VLOOKUP(Table1345[[#This Row],[Product ID]],data,4,FALSE))</f>
        <v/>
      </c>
      <c r="E127" s="7" t="str">
        <f>IF(Table1345[[#This Row],[Product ID]]="","",VLOOKUP(Table1345[[#This Row],[Product ID]],data,5,FALSE))</f>
        <v/>
      </c>
      <c r="F127" s="7" t="str">
        <f>IF(Table1345[[#This Row],[Product ID]]="","",SUMIFS(Stockin!F:F,Stockin!A:A,Table1345[[#This Row],[Product ID]]))</f>
        <v/>
      </c>
      <c r="G127" s="7" t="str">
        <f>IF(Table1345[[#This Row],[Product ID]]="","",SUMIFS(StockOut!G:G,StockOut!B:B,Table1345[[#This Row],[Product ID]]))</f>
        <v/>
      </c>
      <c r="H127" s="7" t="str">
        <f>IF(Table1345[[#This Row],[Product ID]]="","",SUM(Table1345[[#This Row],[Unit ]]-Table1345[[#This Row],[Selling Price]])*Table1345[[#This Row],[Transact Qty]])</f>
        <v/>
      </c>
      <c r="I127" s="10" t="str">
        <f>IF(Table1345[[#This Row],[Product ID]]="","",SUMIFS(Stockin!E:E,Stockin!A:A,Table1345[[#This Row],[Product ID]]))</f>
        <v/>
      </c>
      <c r="J127" s="10" t="str">
        <f>IF(Table1345[[#This Row],[Product ID]]="","",SUMIFS(StockOut!F:F,StockOut!B:B,Table1345[[#This Row],[Product ID]]))</f>
        <v/>
      </c>
      <c r="K127" s="10" t="str">
        <f>IF(A126="","",IF(Table1345[[#This Row],[StockonHand]]&lt;5, "Re-Order","Available"))</f>
        <v/>
      </c>
      <c r="L127" s="10" t="str">
        <f>IF(Table1345[[#This Row],[Product ID]]="","",PRODUCT(Table1345[[#This Row],[Beginning Stocks]]-Table1345[[#This Row],[Transact Qty]]))</f>
        <v/>
      </c>
    </row>
    <row r="128" spans="1:12" ht="30" customHeight="1" x14ac:dyDescent="0.3">
      <c r="A128" s="4" t="str">
        <f t="shared" si="3"/>
        <v/>
      </c>
      <c r="B128" s="4" t="str">
        <f>IF(Table1345[[#This Row],[Product ID]]="","",VLOOKUP(Table1345[[#This Row],[Product ID]],data,2,FALSE))</f>
        <v/>
      </c>
      <c r="C128" s="4" t="str">
        <f>IF(Table1345[[#This Row],[Product ID]]="","",VLOOKUP(Table1345[[#This Row],[Product ID]],data,3,FALSE))</f>
        <v/>
      </c>
      <c r="D128" s="7" t="str">
        <f>IF(Table1345[[#This Row],[Product ID]]="","",VLOOKUP(Table1345[[#This Row],[Product ID]],data,4,FALSE))</f>
        <v/>
      </c>
      <c r="E128" s="7" t="str">
        <f>IF(Table1345[[#This Row],[Product ID]]="","",VLOOKUP(Table1345[[#This Row],[Product ID]],data,5,FALSE))</f>
        <v/>
      </c>
      <c r="F128" s="7" t="str">
        <f>IF(Table1345[[#This Row],[Product ID]]="","",SUMIFS(Stockin!F:F,Stockin!A:A,Table1345[[#This Row],[Product ID]]))</f>
        <v/>
      </c>
      <c r="G128" s="7" t="str">
        <f>IF(Table1345[[#This Row],[Product ID]]="","",SUMIFS(StockOut!G:G,StockOut!B:B,Table1345[[#This Row],[Product ID]]))</f>
        <v/>
      </c>
      <c r="H128" s="7" t="str">
        <f>IF(Table1345[[#This Row],[Product ID]]="","",SUM(Table1345[[#This Row],[Unit ]]-Table1345[[#This Row],[Selling Price]])*Table1345[[#This Row],[Transact Qty]])</f>
        <v/>
      </c>
      <c r="I128" s="10" t="str">
        <f>IF(Table1345[[#This Row],[Product ID]]="","",SUMIFS(Stockin!E:E,Stockin!A:A,Table1345[[#This Row],[Product ID]]))</f>
        <v/>
      </c>
      <c r="J128" s="10" t="str">
        <f>IF(Table1345[[#This Row],[Product ID]]="","",SUMIFS(StockOut!F:F,StockOut!B:B,Table1345[[#This Row],[Product ID]]))</f>
        <v/>
      </c>
      <c r="K128" s="10" t="str">
        <f>IF(A127="","",IF(Table1345[[#This Row],[StockonHand]]&lt;5, "Re-Order","Available"))</f>
        <v/>
      </c>
      <c r="L128" s="10" t="str">
        <f>IF(Table1345[[#This Row],[Product ID]]="","",PRODUCT(Table1345[[#This Row],[Beginning Stocks]]-Table1345[[#This Row],[Transact Qty]]))</f>
        <v/>
      </c>
    </row>
    <row r="129" spans="1:12" ht="30" customHeight="1" x14ac:dyDescent="0.3">
      <c r="A129" s="4" t="str">
        <f t="shared" si="3"/>
        <v/>
      </c>
      <c r="B129" s="4" t="str">
        <f>IF(Table1345[[#This Row],[Product ID]]="","",VLOOKUP(Table1345[[#This Row],[Product ID]],data,2,FALSE))</f>
        <v/>
      </c>
      <c r="C129" s="4" t="str">
        <f>IF(Table1345[[#This Row],[Product ID]]="","",VLOOKUP(Table1345[[#This Row],[Product ID]],data,3,FALSE))</f>
        <v/>
      </c>
      <c r="D129" s="7" t="str">
        <f>IF(Table1345[[#This Row],[Product ID]]="","",VLOOKUP(Table1345[[#This Row],[Product ID]],data,4,FALSE))</f>
        <v/>
      </c>
      <c r="E129" s="7" t="str">
        <f>IF(Table1345[[#This Row],[Product ID]]="","",VLOOKUP(Table1345[[#This Row],[Product ID]],data,5,FALSE))</f>
        <v/>
      </c>
      <c r="F129" s="7" t="str">
        <f>IF(Table1345[[#This Row],[Product ID]]="","",SUMIFS(Stockin!F:F,Stockin!A:A,Table1345[[#This Row],[Product ID]]))</f>
        <v/>
      </c>
      <c r="G129" s="7" t="str">
        <f>IF(Table1345[[#This Row],[Product ID]]="","",SUMIFS(StockOut!G:G,StockOut!B:B,Table1345[[#This Row],[Product ID]]))</f>
        <v/>
      </c>
      <c r="H129" s="7" t="str">
        <f>IF(Table1345[[#This Row],[Product ID]]="","",SUM(Table1345[[#This Row],[Unit ]]-Table1345[[#This Row],[Selling Price]])*Table1345[[#This Row],[Transact Qty]])</f>
        <v/>
      </c>
      <c r="I129" s="10" t="str">
        <f>IF(Table1345[[#This Row],[Product ID]]="","",SUMIFS(Stockin!E:E,Stockin!A:A,Table1345[[#This Row],[Product ID]]))</f>
        <v/>
      </c>
      <c r="J129" s="10" t="str">
        <f>IF(Table1345[[#This Row],[Product ID]]="","",SUMIFS(StockOut!F:F,StockOut!B:B,Table1345[[#This Row],[Product ID]]))</f>
        <v/>
      </c>
      <c r="K129" s="10" t="str">
        <f>IF(A128="","",IF(Table1345[[#This Row],[StockonHand]]&lt;5, "Re-Order","Available"))</f>
        <v/>
      </c>
      <c r="L129" s="10" t="str">
        <f>IF(Table1345[[#This Row],[Product ID]]="","",PRODUCT(Table1345[[#This Row],[Beginning Stocks]]-Table1345[[#This Row],[Transact Qty]]))</f>
        <v/>
      </c>
    </row>
    <row r="130" spans="1:12" ht="30" customHeight="1" x14ac:dyDescent="0.3">
      <c r="A130" s="4" t="str">
        <f t="shared" ref="A130:A161" si="4">IF(item="","",item)</f>
        <v/>
      </c>
      <c r="B130" s="4" t="str">
        <f>IF(Table1345[[#This Row],[Product ID]]="","",VLOOKUP(Table1345[[#This Row],[Product ID]],data,2,FALSE))</f>
        <v/>
      </c>
      <c r="C130" s="4" t="str">
        <f>IF(Table1345[[#This Row],[Product ID]]="","",VLOOKUP(Table1345[[#This Row],[Product ID]],data,3,FALSE))</f>
        <v/>
      </c>
      <c r="D130" s="7" t="str">
        <f>IF(Table1345[[#This Row],[Product ID]]="","",VLOOKUP(Table1345[[#This Row],[Product ID]],data,4,FALSE))</f>
        <v/>
      </c>
      <c r="E130" s="7" t="str">
        <f>IF(Table1345[[#This Row],[Product ID]]="","",VLOOKUP(Table1345[[#This Row],[Product ID]],data,5,FALSE))</f>
        <v/>
      </c>
      <c r="F130" s="7" t="str">
        <f>IF(Table1345[[#This Row],[Product ID]]="","",SUMIFS(Stockin!F:F,Stockin!A:A,Table1345[[#This Row],[Product ID]]))</f>
        <v/>
      </c>
      <c r="G130" s="7" t="str">
        <f>IF(Table1345[[#This Row],[Product ID]]="","",SUMIFS(StockOut!G:G,StockOut!B:B,Table1345[[#This Row],[Product ID]]))</f>
        <v/>
      </c>
      <c r="H130" s="7" t="str">
        <f>IF(Table1345[[#This Row],[Product ID]]="","",SUM(Table1345[[#This Row],[Unit ]]-Table1345[[#This Row],[Selling Price]])*Table1345[[#This Row],[Transact Qty]])</f>
        <v/>
      </c>
      <c r="I130" s="10" t="str">
        <f>IF(Table1345[[#This Row],[Product ID]]="","",SUMIFS(Stockin!E:E,Stockin!A:A,Table1345[[#This Row],[Product ID]]))</f>
        <v/>
      </c>
      <c r="J130" s="10" t="str">
        <f>IF(Table1345[[#This Row],[Product ID]]="","",SUMIFS(StockOut!F:F,StockOut!B:B,Table1345[[#This Row],[Product ID]]))</f>
        <v/>
      </c>
      <c r="K130" s="10" t="str">
        <f>IF(A129="","",IF(Table1345[[#This Row],[StockonHand]]&lt;5, "Re-Order","Available"))</f>
        <v/>
      </c>
      <c r="L130" s="10" t="str">
        <f>IF(Table1345[[#This Row],[Product ID]]="","",PRODUCT(Table1345[[#This Row],[Beginning Stocks]]-Table1345[[#This Row],[Transact Qty]]))</f>
        <v/>
      </c>
    </row>
    <row r="131" spans="1:12" ht="30" customHeight="1" x14ac:dyDescent="0.3">
      <c r="A131" s="4" t="str">
        <f t="shared" si="4"/>
        <v/>
      </c>
      <c r="B131" s="4" t="str">
        <f>IF(Table1345[[#This Row],[Product ID]]="","",VLOOKUP(Table1345[[#This Row],[Product ID]],data,2,FALSE))</f>
        <v/>
      </c>
      <c r="C131" s="4" t="str">
        <f>IF(Table1345[[#This Row],[Product ID]]="","",VLOOKUP(Table1345[[#This Row],[Product ID]],data,3,FALSE))</f>
        <v/>
      </c>
      <c r="D131" s="7" t="str">
        <f>IF(Table1345[[#This Row],[Product ID]]="","",VLOOKUP(Table1345[[#This Row],[Product ID]],data,4,FALSE))</f>
        <v/>
      </c>
      <c r="E131" s="7" t="str">
        <f>IF(Table1345[[#This Row],[Product ID]]="","",VLOOKUP(Table1345[[#This Row],[Product ID]],data,5,FALSE))</f>
        <v/>
      </c>
      <c r="F131" s="7" t="str">
        <f>IF(Table1345[[#This Row],[Product ID]]="","",SUMIFS(Stockin!F:F,Stockin!A:A,Table1345[[#This Row],[Product ID]]))</f>
        <v/>
      </c>
      <c r="G131" s="7" t="str">
        <f>IF(Table1345[[#This Row],[Product ID]]="","",SUMIFS(StockOut!G:G,StockOut!B:B,Table1345[[#This Row],[Product ID]]))</f>
        <v/>
      </c>
      <c r="H131" s="7" t="str">
        <f>IF(Table1345[[#This Row],[Product ID]]="","",SUM(Table1345[[#This Row],[Unit ]]-Table1345[[#This Row],[Selling Price]])*Table1345[[#This Row],[Transact Qty]])</f>
        <v/>
      </c>
      <c r="I131" s="10" t="str">
        <f>IF(Table1345[[#This Row],[Product ID]]="","",SUMIFS(Stockin!E:E,Stockin!A:A,Table1345[[#This Row],[Product ID]]))</f>
        <v/>
      </c>
      <c r="J131" s="10" t="str">
        <f>IF(Table1345[[#This Row],[Product ID]]="","",SUMIFS(StockOut!F:F,StockOut!B:B,Table1345[[#This Row],[Product ID]]))</f>
        <v/>
      </c>
      <c r="K131" s="10" t="str">
        <f>IF(A130="","",IF(Table1345[[#This Row],[StockonHand]]&lt;5, "Re-Order","Available"))</f>
        <v/>
      </c>
      <c r="L131" s="10" t="str">
        <f>IF(Table1345[[#This Row],[Product ID]]="","",PRODUCT(Table1345[[#This Row],[Beginning Stocks]]-Table1345[[#This Row],[Transact Qty]]))</f>
        <v/>
      </c>
    </row>
    <row r="132" spans="1:12" ht="30" customHeight="1" x14ac:dyDescent="0.3">
      <c r="A132" s="4" t="str">
        <f t="shared" si="4"/>
        <v/>
      </c>
      <c r="B132" s="4" t="str">
        <f>IF(Table1345[[#This Row],[Product ID]]="","",VLOOKUP(Table1345[[#This Row],[Product ID]],data,2,FALSE))</f>
        <v/>
      </c>
      <c r="C132" s="4" t="str">
        <f>IF(Table1345[[#This Row],[Product ID]]="","",VLOOKUP(Table1345[[#This Row],[Product ID]],data,3,FALSE))</f>
        <v/>
      </c>
      <c r="D132" s="7" t="str">
        <f>IF(Table1345[[#This Row],[Product ID]]="","",VLOOKUP(Table1345[[#This Row],[Product ID]],data,4,FALSE))</f>
        <v/>
      </c>
      <c r="E132" s="7" t="str">
        <f>IF(Table1345[[#This Row],[Product ID]]="","",VLOOKUP(Table1345[[#This Row],[Product ID]],data,5,FALSE))</f>
        <v/>
      </c>
      <c r="F132" s="7" t="str">
        <f>IF(Table1345[[#This Row],[Product ID]]="","",SUMIFS(Stockin!F:F,Stockin!A:A,Table1345[[#This Row],[Product ID]]))</f>
        <v/>
      </c>
      <c r="G132" s="7" t="str">
        <f>IF(Table1345[[#This Row],[Product ID]]="","",SUMIFS(StockOut!G:G,StockOut!B:B,Table1345[[#This Row],[Product ID]]))</f>
        <v/>
      </c>
      <c r="H132" s="7" t="str">
        <f>IF(Table1345[[#This Row],[Product ID]]="","",SUM(Table1345[[#This Row],[Unit ]]-Table1345[[#This Row],[Selling Price]])*Table1345[[#This Row],[Transact Qty]])</f>
        <v/>
      </c>
      <c r="I132" s="10" t="str">
        <f>IF(Table1345[[#This Row],[Product ID]]="","",SUMIFS(Stockin!E:E,Stockin!A:A,Table1345[[#This Row],[Product ID]]))</f>
        <v/>
      </c>
      <c r="J132" s="10" t="str">
        <f>IF(Table1345[[#This Row],[Product ID]]="","",SUMIFS(StockOut!F:F,StockOut!B:B,Table1345[[#This Row],[Product ID]]))</f>
        <v/>
      </c>
      <c r="K132" s="10" t="str">
        <f>IF(A131="","",IF(Table1345[[#This Row],[StockonHand]]&lt;5, "Re-Order","Available"))</f>
        <v/>
      </c>
      <c r="L132" s="10" t="str">
        <f>IF(Table1345[[#This Row],[Product ID]]="","",PRODUCT(Table1345[[#This Row],[Beginning Stocks]]-Table1345[[#This Row],[Transact Qty]]))</f>
        <v/>
      </c>
    </row>
    <row r="133" spans="1:12" ht="30" customHeight="1" x14ac:dyDescent="0.3">
      <c r="A133" s="4" t="str">
        <f t="shared" si="4"/>
        <v/>
      </c>
      <c r="B133" s="4" t="str">
        <f>IF(Table1345[[#This Row],[Product ID]]="","",VLOOKUP(Table1345[[#This Row],[Product ID]],data,2,FALSE))</f>
        <v/>
      </c>
      <c r="C133" s="4" t="str">
        <f>IF(Table1345[[#This Row],[Product ID]]="","",VLOOKUP(Table1345[[#This Row],[Product ID]],data,3,FALSE))</f>
        <v/>
      </c>
      <c r="D133" s="7" t="str">
        <f>IF(Table1345[[#This Row],[Product ID]]="","",VLOOKUP(Table1345[[#This Row],[Product ID]],data,4,FALSE))</f>
        <v/>
      </c>
      <c r="E133" s="7" t="str">
        <f>IF(Table1345[[#This Row],[Product ID]]="","",VLOOKUP(Table1345[[#This Row],[Product ID]],data,5,FALSE))</f>
        <v/>
      </c>
      <c r="F133" s="7" t="str">
        <f>IF(Table1345[[#This Row],[Product ID]]="","",SUMIFS(Stockin!F:F,Stockin!A:A,Table1345[[#This Row],[Product ID]]))</f>
        <v/>
      </c>
      <c r="G133" s="7" t="str">
        <f>IF(Table1345[[#This Row],[Product ID]]="","",SUMIFS(StockOut!G:G,StockOut!B:B,Table1345[[#This Row],[Product ID]]))</f>
        <v/>
      </c>
      <c r="H133" s="7" t="str">
        <f>IF(Table1345[[#This Row],[Product ID]]="","",SUM(Table1345[[#This Row],[Unit ]]-Table1345[[#This Row],[Selling Price]])*Table1345[[#This Row],[Transact Qty]])</f>
        <v/>
      </c>
      <c r="I133" s="10" t="str">
        <f>IF(Table1345[[#This Row],[Product ID]]="","",SUMIFS(Stockin!E:E,Stockin!A:A,Table1345[[#This Row],[Product ID]]))</f>
        <v/>
      </c>
      <c r="J133" s="10" t="str">
        <f>IF(Table1345[[#This Row],[Product ID]]="","",SUMIFS(StockOut!F:F,StockOut!B:B,Table1345[[#This Row],[Product ID]]))</f>
        <v/>
      </c>
      <c r="K133" s="10" t="str">
        <f>IF(A132="","",IF(Table1345[[#This Row],[StockonHand]]&lt;5, "Re-Order","Available"))</f>
        <v/>
      </c>
      <c r="L133" s="10" t="str">
        <f>IF(Table1345[[#This Row],[Product ID]]="","",PRODUCT(Table1345[[#This Row],[Beginning Stocks]]-Table1345[[#This Row],[Transact Qty]]))</f>
        <v/>
      </c>
    </row>
    <row r="134" spans="1:12" ht="30" customHeight="1" x14ac:dyDescent="0.3">
      <c r="A134" s="4" t="str">
        <f t="shared" si="4"/>
        <v/>
      </c>
      <c r="B134" s="4" t="str">
        <f>IF(Table1345[[#This Row],[Product ID]]="","",VLOOKUP(Table1345[[#This Row],[Product ID]],data,2,FALSE))</f>
        <v/>
      </c>
      <c r="C134" s="4" t="str">
        <f>IF(Table1345[[#This Row],[Product ID]]="","",VLOOKUP(Table1345[[#This Row],[Product ID]],data,3,FALSE))</f>
        <v/>
      </c>
      <c r="D134" s="7" t="str">
        <f>IF(Table1345[[#This Row],[Product ID]]="","",VLOOKUP(Table1345[[#This Row],[Product ID]],data,4,FALSE))</f>
        <v/>
      </c>
      <c r="E134" s="7" t="str">
        <f>IF(Table1345[[#This Row],[Product ID]]="","",VLOOKUP(Table1345[[#This Row],[Product ID]],data,5,FALSE))</f>
        <v/>
      </c>
      <c r="F134" s="7" t="str">
        <f>IF(Table1345[[#This Row],[Product ID]]="","",SUMIFS(Stockin!F:F,Stockin!A:A,Table1345[[#This Row],[Product ID]]))</f>
        <v/>
      </c>
      <c r="G134" s="7" t="str">
        <f>IF(Table1345[[#This Row],[Product ID]]="","",SUMIFS(StockOut!G:G,StockOut!B:B,Table1345[[#This Row],[Product ID]]))</f>
        <v/>
      </c>
      <c r="H134" s="7" t="str">
        <f>IF(Table1345[[#This Row],[Product ID]]="","",SUM(Table1345[[#This Row],[Unit ]]-Table1345[[#This Row],[Selling Price]])*Table1345[[#This Row],[Transact Qty]])</f>
        <v/>
      </c>
      <c r="I134" s="10" t="str">
        <f>IF(Table1345[[#This Row],[Product ID]]="","",SUMIFS(Stockin!E:E,Stockin!A:A,Table1345[[#This Row],[Product ID]]))</f>
        <v/>
      </c>
      <c r="J134" s="10" t="str">
        <f>IF(Table1345[[#This Row],[Product ID]]="","",SUMIFS(StockOut!F:F,StockOut!B:B,Table1345[[#This Row],[Product ID]]))</f>
        <v/>
      </c>
      <c r="K134" s="10" t="str">
        <f>IF(A133="","",IF(Table1345[[#This Row],[StockonHand]]&lt;5, "Re-Order","Available"))</f>
        <v/>
      </c>
      <c r="L134" s="10" t="str">
        <f>IF(Table1345[[#This Row],[Product ID]]="","",PRODUCT(Table1345[[#This Row],[Beginning Stocks]]-Table1345[[#This Row],[Transact Qty]]))</f>
        <v/>
      </c>
    </row>
    <row r="135" spans="1:12" ht="30" customHeight="1" x14ac:dyDescent="0.3">
      <c r="A135" s="4" t="str">
        <f t="shared" si="4"/>
        <v/>
      </c>
      <c r="B135" s="4" t="str">
        <f>IF(Table1345[[#This Row],[Product ID]]="","",VLOOKUP(Table1345[[#This Row],[Product ID]],data,2,FALSE))</f>
        <v/>
      </c>
      <c r="C135" s="4" t="str">
        <f>IF(Table1345[[#This Row],[Product ID]]="","",VLOOKUP(Table1345[[#This Row],[Product ID]],data,3,FALSE))</f>
        <v/>
      </c>
      <c r="D135" s="7" t="str">
        <f>IF(Table1345[[#This Row],[Product ID]]="","",VLOOKUP(Table1345[[#This Row],[Product ID]],data,4,FALSE))</f>
        <v/>
      </c>
      <c r="E135" s="7" t="str">
        <f>IF(Table1345[[#This Row],[Product ID]]="","",VLOOKUP(Table1345[[#This Row],[Product ID]],data,5,FALSE))</f>
        <v/>
      </c>
      <c r="F135" s="7" t="str">
        <f>IF(Table1345[[#This Row],[Product ID]]="","",SUMIFS(Stockin!F:F,Stockin!A:A,Table1345[[#This Row],[Product ID]]))</f>
        <v/>
      </c>
      <c r="G135" s="7" t="str">
        <f>IF(Table1345[[#This Row],[Product ID]]="","",SUMIFS(StockOut!G:G,StockOut!B:B,Table1345[[#This Row],[Product ID]]))</f>
        <v/>
      </c>
      <c r="H135" s="7" t="str">
        <f>IF(Table1345[[#This Row],[Product ID]]="","",SUM(Table1345[[#This Row],[Unit ]]-Table1345[[#This Row],[Selling Price]])*Table1345[[#This Row],[Transact Qty]])</f>
        <v/>
      </c>
      <c r="I135" s="10" t="str">
        <f>IF(Table1345[[#This Row],[Product ID]]="","",SUMIFS(Stockin!E:E,Stockin!A:A,Table1345[[#This Row],[Product ID]]))</f>
        <v/>
      </c>
      <c r="J135" s="10" t="str">
        <f>IF(Table1345[[#This Row],[Product ID]]="","",SUMIFS(StockOut!F:F,StockOut!B:B,Table1345[[#This Row],[Product ID]]))</f>
        <v/>
      </c>
      <c r="K135" s="10" t="str">
        <f>IF(A134="","",IF(Table1345[[#This Row],[StockonHand]]&lt;5, "Re-Order","Available"))</f>
        <v/>
      </c>
      <c r="L135" s="10" t="str">
        <f>IF(Table1345[[#This Row],[Product ID]]="","",PRODUCT(Table1345[[#This Row],[Beginning Stocks]]-Table1345[[#This Row],[Transact Qty]]))</f>
        <v/>
      </c>
    </row>
    <row r="136" spans="1:12" ht="30" customHeight="1" x14ac:dyDescent="0.3">
      <c r="A136" s="4" t="str">
        <f t="shared" si="4"/>
        <v/>
      </c>
      <c r="B136" s="4" t="str">
        <f>IF(Table1345[[#This Row],[Product ID]]="","",VLOOKUP(Table1345[[#This Row],[Product ID]],data,2,FALSE))</f>
        <v/>
      </c>
      <c r="C136" s="4" t="str">
        <f>IF(Table1345[[#This Row],[Product ID]]="","",VLOOKUP(Table1345[[#This Row],[Product ID]],data,3,FALSE))</f>
        <v/>
      </c>
      <c r="D136" s="7" t="str">
        <f>IF(Table1345[[#This Row],[Product ID]]="","",VLOOKUP(Table1345[[#This Row],[Product ID]],data,4,FALSE))</f>
        <v/>
      </c>
      <c r="E136" s="7" t="str">
        <f>IF(Table1345[[#This Row],[Product ID]]="","",VLOOKUP(Table1345[[#This Row],[Product ID]],data,5,FALSE))</f>
        <v/>
      </c>
      <c r="F136" s="7" t="str">
        <f>IF(Table1345[[#This Row],[Product ID]]="","",SUMIFS(Stockin!F:F,Stockin!A:A,Table1345[[#This Row],[Product ID]]))</f>
        <v/>
      </c>
      <c r="G136" s="7" t="str">
        <f>IF(Table1345[[#This Row],[Product ID]]="","",SUMIFS(StockOut!G:G,StockOut!B:B,Table1345[[#This Row],[Product ID]]))</f>
        <v/>
      </c>
      <c r="H136" s="7" t="str">
        <f>IF(Table1345[[#This Row],[Product ID]]="","",SUM(Table1345[[#This Row],[Unit ]]-Table1345[[#This Row],[Selling Price]])*Table1345[[#This Row],[Transact Qty]])</f>
        <v/>
      </c>
      <c r="I136" s="10" t="str">
        <f>IF(Table1345[[#This Row],[Product ID]]="","",SUMIFS(Stockin!E:E,Stockin!A:A,Table1345[[#This Row],[Product ID]]))</f>
        <v/>
      </c>
      <c r="J136" s="10" t="str">
        <f>IF(Table1345[[#This Row],[Product ID]]="","",SUMIFS(StockOut!F:F,StockOut!B:B,Table1345[[#This Row],[Product ID]]))</f>
        <v/>
      </c>
      <c r="K136" s="10" t="str">
        <f>IF(A135="","",IF(Table1345[[#This Row],[StockonHand]]&lt;5, "Re-Order","Available"))</f>
        <v/>
      </c>
      <c r="L136" s="10" t="str">
        <f>IF(Table1345[[#This Row],[Product ID]]="","",PRODUCT(Table1345[[#This Row],[Beginning Stocks]]-Table1345[[#This Row],[Transact Qty]]))</f>
        <v/>
      </c>
    </row>
    <row r="137" spans="1:12" ht="30" customHeight="1" x14ac:dyDescent="0.3">
      <c r="A137" s="4" t="str">
        <f t="shared" si="4"/>
        <v/>
      </c>
      <c r="B137" s="4" t="str">
        <f>IF(Table1345[[#This Row],[Product ID]]="","",VLOOKUP(Table1345[[#This Row],[Product ID]],data,2,FALSE))</f>
        <v/>
      </c>
      <c r="C137" s="4" t="str">
        <f>IF(Table1345[[#This Row],[Product ID]]="","",VLOOKUP(Table1345[[#This Row],[Product ID]],data,3,FALSE))</f>
        <v/>
      </c>
      <c r="D137" s="7" t="str">
        <f>IF(Table1345[[#This Row],[Product ID]]="","",VLOOKUP(Table1345[[#This Row],[Product ID]],data,4,FALSE))</f>
        <v/>
      </c>
      <c r="E137" s="7" t="str">
        <f>IF(Table1345[[#This Row],[Product ID]]="","",VLOOKUP(Table1345[[#This Row],[Product ID]],data,5,FALSE))</f>
        <v/>
      </c>
      <c r="F137" s="7" t="str">
        <f>IF(Table1345[[#This Row],[Product ID]]="","",SUMIFS(Stockin!F:F,Stockin!A:A,Table1345[[#This Row],[Product ID]]))</f>
        <v/>
      </c>
      <c r="G137" s="7" t="str">
        <f>IF(Table1345[[#This Row],[Product ID]]="","",SUMIFS(StockOut!G:G,StockOut!B:B,Table1345[[#This Row],[Product ID]]))</f>
        <v/>
      </c>
      <c r="H137" s="7" t="str">
        <f>IF(Table1345[[#This Row],[Product ID]]="","",SUM(Table1345[[#This Row],[Unit ]]-Table1345[[#This Row],[Selling Price]])*Table1345[[#This Row],[Transact Qty]])</f>
        <v/>
      </c>
      <c r="I137" s="10" t="str">
        <f>IF(Table1345[[#This Row],[Product ID]]="","",SUMIFS(Stockin!E:E,Stockin!A:A,Table1345[[#This Row],[Product ID]]))</f>
        <v/>
      </c>
      <c r="J137" s="10" t="str">
        <f>IF(Table1345[[#This Row],[Product ID]]="","",SUMIFS(StockOut!F:F,StockOut!B:B,Table1345[[#This Row],[Product ID]]))</f>
        <v/>
      </c>
      <c r="K137" s="10" t="str">
        <f>IF(A136="","",IF(Table1345[[#This Row],[StockonHand]]&lt;5, "Re-Order","Available"))</f>
        <v/>
      </c>
      <c r="L137" s="10" t="str">
        <f>IF(Table1345[[#This Row],[Product ID]]="","",PRODUCT(Table1345[[#This Row],[Beginning Stocks]]-Table1345[[#This Row],[Transact Qty]]))</f>
        <v/>
      </c>
    </row>
    <row r="138" spans="1:12" ht="30" customHeight="1" x14ac:dyDescent="0.3">
      <c r="A138" s="4" t="str">
        <f t="shared" si="4"/>
        <v/>
      </c>
      <c r="B138" s="4" t="str">
        <f>IF(Table1345[[#This Row],[Product ID]]="","",VLOOKUP(Table1345[[#This Row],[Product ID]],data,2,FALSE))</f>
        <v/>
      </c>
      <c r="C138" s="4" t="str">
        <f>IF(Table1345[[#This Row],[Product ID]]="","",VLOOKUP(Table1345[[#This Row],[Product ID]],data,3,FALSE))</f>
        <v/>
      </c>
      <c r="D138" s="7" t="str">
        <f>IF(Table1345[[#This Row],[Product ID]]="","",VLOOKUP(Table1345[[#This Row],[Product ID]],data,4,FALSE))</f>
        <v/>
      </c>
      <c r="E138" s="7" t="str">
        <f>IF(Table1345[[#This Row],[Product ID]]="","",VLOOKUP(Table1345[[#This Row],[Product ID]],data,5,FALSE))</f>
        <v/>
      </c>
      <c r="F138" s="7" t="str">
        <f>IF(Table1345[[#This Row],[Product ID]]="","",SUMIFS(Stockin!F:F,Stockin!A:A,Table1345[[#This Row],[Product ID]]))</f>
        <v/>
      </c>
      <c r="G138" s="7" t="str">
        <f>IF(Table1345[[#This Row],[Product ID]]="","",SUMIFS(StockOut!G:G,StockOut!B:B,Table1345[[#This Row],[Product ID]]))</f>
        <v/>
      </c>
      <c r="H138" s="7" t="str">
        <f>IF(Table1345[[#This Row],[Product ID]]="","",SUM(Table1345[[#This Row],[Unit ]]-Table1345[[#This Row],[Selling Price]])*Table1345[[#This Row],[Transact Qty]])</f>
        <v/>
      </c>
      <c r="I138" s="10" t="str">
        <f>IF(Table1345[[#This Row],[Product ID]]="","",SUMIFS(Stockin!E:E,Stockin!A:A,Table1345[[#This Row],[Product ID]]))</f>
        <v/>
      </c>
      <c r="J138" s="10" t="str">
        <f>IF(Table1345[[#This Row],[Product ID]]="","",SUMIFS(StockOut!F:F,StockOut!B:B,Table1345[[#This Row],[Product ID]]))</f>
        <v/>
      </c>
      <c r="K138" s="10" t="str">
        <f>IF(A137="","",IF(Table1345[[#This Row],[StockonHand]]&lt;5, "Re-Order","Available"))</f>
        <v/>
      </c>
      <c r="L138" s="10" t="str">
        <f>IF(Table1345[[#This Row],[Product ID]]="","",PRODUCT(Table1345[[#This Row],[Beginning Stocks]]-Table1345[[#This Row],[Transact Qty]]))</f>
        <v/>
      </c>
    </row>
    <row r="139" spans="1:12" ht="30" customHeight="1" x14ac:dyDescent="0.3">
      <c r="A139" s="4" t="str">
        <f t="shared" si="4"/>
        <v/>
      </c>
      <c r="B139" s="4" t="str">
        <f>IF(Table1345[[#This Row],[Product ID]]="","",VLOOKUP(Table1345[[#This Row],[Product ID]],data,2,FALSE))</f>
        <v/>
      </c>
      <c r="C139" s="4" t="str">
        <f>IF(Table1345[[#This Row],[Product ID]]="","",VLOOKUP(Table1345[[#This Row],[Product ID]],data,3,FALSE))</f>
        <v/>
      </c>
      <c r="D139" s="7" t="str">
        <f>IF(Table1345[[#This Row],[Product ID]]="","",VLOOKUP(Table1345[[#This Row],[Product ID]],data,4,FALSE))</f>
        <v/>
      </c>
      <c r="E139" s="7" t="str">
        <f>IF(Table1345[[#This Row],[Product ID]]="","",VLOOKUP(Table1345[[#This Row],[Product ID]],data,5,FALSE))</f>
        <v/>
      </c>
      <c r="F139" s="7" t="str">
        <f>IF(Table1345[[#This Row],[Product ID]]="","",SUMIFS(Stockin!F:F,Stockin!A:A,Table1345[[#This Row],[Product ID]]))</f>
        <v/>
      </c>
      <c r="G139" s="7" t="str">
        <f>IF(Table1345[[#This Row],[Product ID]]="","",SUMIFS(StockOut!G:G,StockOut!B:B,Table1345[[#This Row],[Product ID]]))</f>
        <v/>
      </c>
      <c r="H139" s="7" t="str">
        <f>IF(Table1345[[#This Row],[Product ID]]="","",SUM(Table1345[[#This Row],[Unit ]]-Table1345[[#This Row],[Selling Price]])*Table1345[[#This Row],[Transact Qty]])</f>
        <v/>
      </c>
      <c r="I139" s="10" t="str">
        <f>IF(Table1345[[#This Row],[Product ID]]="","",SUMIFS(Stockin!E:E,Stockin!A:A,Table1345[[#This Row],[Product ID]]))</f>
        <v/>
      </c>
      <c r="J139" s="10" t="str">
        <f>IF(Table1345[[#This Row],[Product ID]]="","",SUMIFS(StockOut!F:F,StockOut!B:B,Table1345[[#This Row],[Product ID]]))</f>
        <v/>
      </c>
      <c r="K139" s="10" t="str">
        <f>IF(A138="","",IF(Table1345[[#This Row],[StockonHand]]&lt;5, "Re-Order","Available"))</f>
        <v/>
      </c>
      <c r="L139" s="10" t="str">
        <f>IF(Table1345[[#This Row],[Product ID]]="","",PRODUCT(Table1345[[#This Row],[Beginning Stocks]]-Table1345[[#This Row],[Transact Qty]]))</f>
        <v/>
      </c>
    </row>
    <row r="140" spans="1:12" ht="30" customHeight="1" x14ac:dyDescent="0.3">
      <c r="A140" s="4" t="str">
        <f t="shared" si="4"/>
        <v/>
      </c>
      <c r="B140" s="4" t="str">
        <f>IF(Table1345[[#This Row],[Product ID]]="","",VLOOKUP(Table1345[[#This Row],[Product ID]],data,2,FALSE))</f>
        <v/>
      </c>
      <c r="C140" s="4" t="str">
        <f>IF(Table1345[[#This Row],[Product ID]]="","",VLOOKUP(Table1345[[#This Row],[Product ID]],data,3,FALSE))</f>
        <v/>
      </c>
      <c r="D140" s="7" t="str">
        <f>IF(Table1345[[#This Row],[Product ID]]="","",VLOOKUP(Table1345[[#This Row],[Product ID]],data,4,FALSE))</f>
        <v/>
      </c>
      <c r="E140" s="7" t="str">
        <f>IF(Table1345[[#This Row],[Product ID]]="","",VLOOKUP(Table1345[[#This Row],[Product ID]],data,5,FALSE))</f>
        <v/>
      </c>
      <c r="F140" s="7" t="str">
        <f>IF(Table1345[[#This Row],[Product ID]]="","",SUMIFS(Stockin!F:F,Stockin!A:A,Table1345[[#This Row],[Product ID]]))</f>
        <v/>
      </c>
      <c r="G140" s="7" t="str">
        <f>IF(Table1345[[#This Row],[Product ID]]="","",SUMIFS(StockOut!G:G,StockOut!B:B,Table1345[[#This Row],[Product ID]]))</f>
        <v/>
      </c>
      <c r="H140" s="7" t="str">
        <f>IF(Table1345[[#This Row],[Product ID]]="","",SUM(Table1345[[#This Row],[Unit ]]-Table1345[[#This Row],[Selling Price]])*Table1345[[#This Row],[Transact Qty]])</f>
        <v/>
      </c>
      <c r="I140" s="10" t="str">
        <f>IF(Table1345[[#This Row],[Product ID]]="","",SUMIFS(Stockin!E:E,Stockin!A:A,Table1345[[#This Row],[Product ID]]))</f>
        <v/>
      </c>
      <c r="J140" s="10" t="str">
        <f>IF(Table1345[[#This Row],[Product ID]]="","",SUMIFS(StockOut!F:F,StockOut!B:B,Table1345[[#This Row],[Product ID]]))</f>
        <v/>
      </c>
      <c r="K140" s="10" t="str">
        <f>IF(A139="","",IF(Table1345[[#This Row],[StockonHand]]&lt;5, "Re-Order","Available"))</f>
        <v/>
      </c>
      <c r="L140" s="10" t="str">
        <f>IF(Table1345[[#This Row],[Product ID]]="","",PRODUCT(Table1345[[#This Row],[Beginning Stocks]]-Table1345[[#This Row],[Transact Qty]]))</f>
        <v/>
      </c>
    </row>
    <row r="141" spans="1:12" ht="30" customHeight="1" x14ac:dyDescent="0.3">
      <c r="A141" s="4" t="str">
        <f t="shared" si="4"/>
        <v/>
      </c>
      <c r="B141" s="4" t="str">
        <f>IF(Table1345[[#This Row],[Product ID]]="","",VLOOKUP(Table1345[[#This Row],[Product ID]],data,2,FALSE))</f>
        <v/>
      </c>
      <c r="C141" s="4" t="str">
        <f>IF(Table1345[[#This Row],[Product ID]]="","",VLOOKUP(Table1345[[#This Row],[Product ID]],data,3,FALSE))</f>
        <v/>
      </c>
      <c r="D141" s="7" t="str">
        <f>IF(Table1345[[#This Row],[Product ID]]="","",VLOOKUP(Table1345[[#This Row],[Product ID]],data,4,FALSE))</f>
        <v/>
      </c>
      <c r="E141" s="7" t="str">
        <f>IF(Table1345[[#This Row],[Product ID]]="","",VLOOKUP(Table1345[[#This Row],[Product ID]],data,5,FALSE))</f>
        <v/>
      </c>
      <c r="F141" s="7" t="str">
        <f>IF(Table1345[[#This Row],[Product ID]]="","",SUMIFS(Stockin!F:F,Stockin!A:A,Table1345[[#This Row],[Product ID]]))</f>
        <v/>
      </c>
      <c r="G141" s="7" t="str">
        <f>IF(Table1345[[#This Row],[Product ID]]="","",SUMIFS(StockOut!G:G,StockOut!B:B,Table1345[[#This Row],[Product ID]]))</f>
        <v/>
      </c>
      <c r="H141" s="7" t="str">
        <f>IF(Table1345[[#This Row],[Product ID]]="","",SUM(Table1345[[#This Row],[Unit ]]-Table1345[[#This Row],[Selling Price]])*Table1345[[#This Row],[Transact Qty]])</f>
        <v/>
      </c>
      <c r="I141" s="10" t="str">
        <f>IF(Table1345[[#This Row],[Product ID]]="","",SUMIFS(Stockin!E:E,Stockin!A:A,Table1345[[#This Row],[Product ID]]))</f>
        <v/>
      </c>
      <c r="J141" s="10" t="str">
        <f>IF(Table1345[[#This Row],[Product ID]]="","",SUMIFS(StockOut!F:F,StockOut!B:B,Table1345[[#This Row],[Product ID]]))</f>
        <v/>
      </c>
      <c r="K141" s="10" t="str">
        <f>IF(A140="","",IF(Table1345[[#This Row],[StockonHand]]&lt;5, "Re-Order","Available"))</f>
        <v/>
      </c>
      <c r="L141" s="10" t="str">
        <f>IF(Table1345[[#This Row],[Product ID]]="","",PRODUCT(Table1345[[#This Row],[Beginning Stocks]]-Table1345[[#This Row],[Transact Qty]]))</f>
        <v/>
      </c>
    </row>
    <row r="142" spans="1:12" ht="30" customHeight="1" x14ac:dyDescent="0.3">
      <c r="A142" s="4" t="str">
        <f t="shared" si="4"/>
        <v/>
      </c>
      <c r="B142" s="4" t="str">
        <f>IF(Table1345[[#This Row],[Product ID]]="","",VLOOKUP(Table1345[[#This Row],[Product ID]],data,2,FALSE))</f>
        <v/>
      </c>
      <c r="C142" s="4" t="str">
        <f>IF(Table1345[[#This Row],[Product ID]]="","",VLOOKUP(Table1345[[#This Row],[Product ID]],data,3,FALSE))</f>
        <v/>
      </c>
      <c r="D142" s="7" t="str">
        <f>IF(Table1345[[#This Row],[Product ID]]="","",VLOOKUP(Table1345[[#This Row],[Product ID]],data,4,FALSE))</f>
        <v/>
      </c>
      <c r="E142" s="7" t="str">
        <f>IF(Table1345[[#This Row],[Product ID]]="","",VLOOKUP(Table1345[[#This Row],[Product ID]],data,5,FALSE))</f>
        <v/>
      </c>
      <c r="F142" s="7" t="str">
        <f>IF(Table1345[[#This Row],[Product ID]]="","",SUMIFS(Stockin!F:F,Stockin!A:A,Table1345[[#This Row],[Product ID]]))</f>
        <v/>
      </c>
      <c r="G142" s="7" t="str">
        <f>IF(Table1345[[#This Row],[Product ID]]="","",SUMIFS(StockOut!G:G,StockOut!B:B,Table1345[[#This Row],[Product ID]]))</f>
        <v/>
      </c>
      <c r="H142" s="7" t="str">
        <f>IF(Table1345[[#This Row],[Product ID]]="","",SUM(Table1345[[#This Row],[Unit ]]-Table1345[[#This Row],[Selling Price]])*Table1345[[#This Row],[Transact Qty]])</f>
        <v/>
      </c>
      <c r="I142" s="10" t="str">
        <f>IF(Table1345[[#This Row],[Product ID]]="","",SUMIFS(Stockin!E:E,Stockin!A:A,Table1345[[#This Row],[Product ID]]))</f>
        <v/>
      </c>
      <c r="J142" s="10" t="str">
        <f>IF(Table1345[[#This Row],[Product ID]]="","",SUMIFS(StockOut!F:F,StockOut!B:B,Table1345[[#This Row],[Product ID]]))</f>
        <v/>
      </c>
      <c r="K142" s="10" t="str">
        <f>IF(A141="","",IF(Table1345[[#This Row],[StockonHand]]&lt;5, "Re-Order","Available"))</f>
        <v/>
      </c>
      <c r="L142" s="10" t="str">
        <f>IF(Table1345[[#This Row],[Product ID]]="","",PRODUCT(Table1345[[#This Row],[Beginning Stocks]]-Table1345[[#This Row],[Transact Qty]]))</f>
        <v/>
      </c>
    </row>
    <row r="143" spans="1:12" ht="30" customHeight="1" x14ac:dyDescent="0.3">
      <c r="A143" s="4" t="str">
        <f t="shared" si="4"/>
        <v/>
      </c>
      <c r="B143" s="4" t="str">
        <f>IF(Table1345[[#This Row],[Product ID]]="","",VLOOKUP(Table1345[[#This Row],[Product ID]],data,2,FALSE))</f>
        <v/>
      </c>
      <c r="C143" s="4" t="str">
        <f>IF(Table1345[[#This Row],[Product ID]]="","",VLOOKUP(Table1345[[#This Row],[Product ID]],data,3,FALSE))</f>
        <v/>
      </c>
      <c r="D143" s="7" t="str">
        <f>IF(Table1345[[#This Row],[Product ID]]="","",VLOOKUP(Table1345[[#This Row],[Product ID]],data,4,FALSE))</f>
        <v/>
      </c>
      <c r="E143" s="7" t="str">
        <f>IF(Table1345[[#This Row],[Product ID]]="","",VLOOKUP(Table1345[[#This Row],[Product ID]],data,5,FALSE))</f>
        <v/>
      </c>
      <c r="F143" s="7" t="str">
        <f>IF(Table1345[[#This Row],[Product ID]]="","",SUMIFS(Stockin!F:F,Stockin!A:A,Table1345[[#This Row],[Product ID]]))</f>
        <v/>
      </c>
      <c r="G143" s="7" t="str">
        <f>IF(Table1345[[#This Row],[Product ID]]="","",SUMIFS(StockOut!G:G,StockOut!B:B,Table1345[[#This Row],[Product ID]]))</f>
        <v/>
      </c>
      <c r="H143" s="7" t="str">
        <f>IF(Table1345[[#This Row],[Product ID]]="","",SUM(Table1345[[#This Row],[Unit ]]-Table1345[[#This Row],[Selling Price]])*Table1345[[#This Row],[Transact Qty]])</f>
        <v/>
      </c>
      <c r="I143" s="10" t="str">
        <f>IF(Table1345[[#This Row],[Product ID]]="","",SUMIFS(Stockin!E:E,Stockin!A:A,Table1345[[#This Row],[Product ID]]))</f>
        <v/>
      </c>
      <c r="J143" s="10" t="str">
        <f>IF(Table1345[[#This Row],[Product ID]]="","",SUMIFS(StockOut!F:F,StockOut!B:B,Table1345[[#This Row],[Product ID]]))</f>
        <v/>
      </c>
      <c r="K143" s="10" t="str">
        <f>IF(A142="","",IF(Table1345[[#This Row],[StockonHand]]&lt;5, "Re-Order","Available"))</f>
        <v/>
      </c>
      <c r="L143" s="10" t="str">
        <f>IF(Table1345[[#This Row],[Product ID]]="","",PRODUCT(Table1345[[#This Row],[Beginning Stocks]]-Table1345[[#This Row],[Transact Qty]]))</f>
        <v/>
      </c>
    </row>
    <row r="144" spans="1:12" ht="30" customHeight="1" x14ac:dyDescent="0.3">
      <c r="A144" s="4" t="str">
        <f t="shared" si="4"/>
        <v/>
      </c>
      <c r="B144" s="4" t="str">
        <f>IF(Table1345[[#This Row],[Product ID]]="","",VLOOKUP(Table1345[[#This Row],[Product ID]],data,2,FALSE))</f>
        <v/>
      </c>
      <c r="C144" s="4" t="str">
        <f>IF(Table1345[[#This Row],[Product ID]]="","",VLOOKUP(Table1345[[#This Row],[Product ID]],data,3,FALSE))</f>
        <v/>
      </c>
      <c r="D144" s="7" t="str">
        <f>IF(Table1345[[#This Row],[Product ID]]="","",VLOOKUP(Table1345[[#This Row],[Product ID]],data,4,FALSE))</f>
        <v/>
      </c>
      <c r="E144" s="7" t="str">
        <f>IF(Table1345[[#This Row],[Product ID]]="","",VLOOKUP(Table1345[[#This Row],[Product ID]],data,5,FALSE))</f>
        <v/>
      </c>
      <c r="F144" s="7" t="str">
        <f>IF(Table1345[[#This Row],[Product ID]]="","",SUMIFS(Stockin!F:F,Stockin!A:A,Table1345[[#This Row],[Product ID]]))</f>
        <v/>
      </c>
      <c r="G144" s="7" t="str">
        <f>IF(Table1345[[#This Row],[Product ID]]="","",SUMIFS(StockOut!G:G,StockOut!B:B,Table1345[[#This Row],[Product ID]]))</f>
        <v/>
      </c>
      <c r="H144" s="7" t="str">
        <f>IF(Table1345[[#This Row],[Product ID]]="","",SUM(Table1345[[#This Row],[Unit ]]-Table1345[[#This Row],[Selling Price]])*Table1345[[#This Row],[Transact Qty]])</f>
        <v/>
      </c>
      <c r="I144" s="10" t="str">
        <f>IF(Table1345[[#This Row],[Product ID]]="","",SUMIFS(Stockin!E:E,Stockin!A:A,Table1345[[#This Row],[Product ID]]))</f>
        <v/>
      </c>
      <c r="J144" s="10" t="str">
        <f>IF(Table1345[[#This Row],[Product ID]]="","",SUMIFS(StockOut!F:F,StockOut!B:B,Table1345[[#This Row],[Product ID]]))</f>
        <v/>
      </c>
      <c r="K144" s="10" t="str">
        <f>IF(A143="","",IF(Table1345[[#This Row],[StockonHand]]&lt;5, "Re-Order","Available"))</f>
        <v/>
      </c>
      <c r="L144" s="10" t="str">
        <f>IF(Table1345[[#This Row],[Product ID]]="","",PRODUCT(Table1345[[#This Row],[Beginning Stocks]]-Table1345[[#This Row],[Transact Qty]]))</f>
        <v/>
      </c>
    </row>
    <row r="145" spans="1:12" ht="30" customHeight="1" x14ac:dyDescent="0.3">
      <c r="A145" s="4" t="str">
        <f t="shared" si="4"/>
        <v/>
      </c>
      <c r="B145" s="4" t="str">
        <f>IF(Table1345[[#This Row],[Product ID]]="","",VLOOKUP(Table1345[[#This Row],[Product ID]],data,2,FALSE))</f>
        <v/>
      </c>
      <c r="C145" s="4" t="str">
        <f>IF(Table1345[[#This Row],[Product ID]]="","",VLOOKUP(Table1345[[#This Row],[Product ID]],data,3,FALSE))</f>
        <v/>
      </c>
      <c r="D145" s="7" t="str">
        <f>IF(Table1345[[#This Row],[Product ID]]="","",VLOOKUP(Table1345[[#This Row],[Product ID]],data,4,FALSE))</f>
        <v/>
      </c>
      <c r="E145" s="7" t="str">
        <f>IF(Table1345[[#This Row],[Product ID]]="","",VLOOKUP(Table1345[[#This Row],[Product ID]],data,5,FALSE))</f>
        <v/>
      </c>
      <c r="F145" s="7" t="str">
        <f>IF(Table1345[[#This Row],[Product ID]]="","",SUMIFS(Stockin!F:F,Stockin!A:A,Table1345[[#This Row],[Product ID]]))</f>
        <v/>
      </c>
      <c r="G145" s="7" t="str">
        <f>IF(Table1345[[#This Row],[Product ID]]="","",SUMIFS(StockOut!G:G,StockOut!B:B,Table1345[[#This Row],[Product ID]]))</f>
        <v/>
      </c>
      <c r="H145" s="7" t="str">
        <f>IF(Table1345[[#This Row],[Product ID]]="","",SUM(Table1345[[#This Row],[Unit ]]-Table1345[[#This Row],[Selling Price]])*Table1345[[#This Row],[Transact Qty]])</f>
        <v/>
      </c>
      <c r="I145" s="10" t="str">
        <f>IF(Table1345[[#This Row],[Product ID]]="","",SUMIFS(Stockin!E:E,Stockin!A:A,Table1345[[#This Row],[Product ID]]))</f>
        <v/>
      </c>
      <c r="J145" s="10" t="str">
        <f>IF(Table1345[[#This Row],[Product ID]]="","",SUMIFS(StockOut!F:F,StockOut!B:B,Table1345[[#This Row],[Product ID]]))</f>
        <v/>
      </c>
      <c r="K145" s="10" t="str">
        <f>IF(A144="","",IF(Table1345[[#This Row],[StockonHand]]&lt;5, "Re-Order","Available"))</f>
        <v/>
      </c>
      <c r="L145" s="10" t="str">
        <f>IF(Table1345[[#This Row],[Product ID]]="","",PRODUCT(Table1345[[#This Row],[Beginning Stocks]]-Table1345[[#This Row],[Transact Qty]]))</f>
        <v/>
      </c>
    </row>
    <row r="146" spans="1:12" ht="30" customHeight="1" x14ac:dyDescent="0.3">
      <c r="A146" s="4" t="str">
        <f t="shared" si="4"/>
        <v/>
      </c>
      <c r="B146" s="4" t="str">
        <f>IF(Table1345[[#This Row],[Product ID]]="","",VLOOKUP(Table1345[[#This Row],[Product ID]],data,2,FALSE))</f>
        <v/>
      </c>
      <c r="C146" s="4" t="str">
        <f>IF(Table1345[[#This Row],[Product ID]]="","",VLOOKUP(Table1345[[#This Row],[Product ID]],data,3,FALSE))</f>
        <v/>
      </c>
      <c r="D146" s="7" t="str">
        <f>IF(Table1345[[#This Row],[Product ID]]="","",VLOOKUP(Table1345[[#This Row],[Product ID]],data,4,FALSE))</f>
        <v/>
      </c>
      <c r="E146" s="7" t="str">
        <f>IF(Table1345[[#This Row],[Product ID]]="","",VLOOKUP(Table1345[[#This Row],[Product ID]],data,5,FALSE))</f>
        <v/>
      </c>
      <c r="F146" s="7" t="str">
        <f>IF(Table1345[[#This Row],[Product ID]]="","",SUMIFS(Stockin!F:F,Stockin!A:A,Table1345[[#This Row],[Product ID]]))</f>
        <v/>
      </c>
      <c r="G146" s="7" t="str">
        <f>IF(Table1345[[#This Row],[Product ID]]="","",SUMIFS(StockOut!G:G,StockOut!B:B,Table1345[[#This Row],[Product ID]]))</f>
        <v/>
      </c>
      <c r="H146" s="7" t="str">
        <f>IF(Table1345[[#This Row],[Product ID]]="","",SUM(Table1345[[#This Row],[Unit ]]-Table1345[[#This Row],[Selling Price]])*Table1345[[#This Row],[Transact Qty]])</f>
        <v/>
      </c>
      <c r="I146" s="10" t="str">
        <f>IF(Table1345[[#This Row],[Product ID]]="","",SUMIFS(Stockin!E:E,Stockin!A:A,Table1345[[#This Row],[Product ID]]))</f>
        <v/>
      </c>
      <c r="J146" s="10" t="str">
        <f>IF(Table1345[[#This Row],[Product ID]]="","",SUMIFS(StockOut!F:F,StockOut!B:B,Table1345[[#This Row],[Product ID]]))</f>
        <v/>
      </c>
      <c r="K146" s="10" t="str">
        <f>IF(A145="","",IF(Table1345[[#This Row],[StockonHand]]&lt;5, "Re-Order","Available"))</f>
        <v/>
      </c>
      <c r="L146" s="10" t="str">
        <f>IF(Table1345[[#This Row],[Product ID]]="","",PRODUCT(Table1345[[#This Row],[Beginning Stocks]]-Table1345[[#This Row],[Transact Qty]]))</f>
        <v/>
      </c>
    </row>
    <row r="147" spans="1:12" ht="30" customHeight="1" x14ac:dyDescent="0.3">
      <c r="A147" s="4" t="str">
        <f t="shared" si="4"/>
        <v/>
      </c>
      <c r="B147" s="4" t="str">
        <f>IF(Table1345[[#This Row],[Product ID]]="","",VLOOKUP(Table1345[[#This Row],[Product ID]],data,2,FALSE))</f>
        <v/>
      </c>
      <c r="C147" s="4" t="str">
        <f>IF(Table1345[[#This Row],[Product ID]]="","",VLOOKUP(Table1345[[#This Row],[Product ID]],data,3,FALSE))</f>
        <v/>
      </c>
      <c r="D147" s="7" t="str">
        <f>IF(Table1345[[#This Row],[Product ID]]="","",VLOOKUP(Table1345[[#This Row],[Product ID]],data,4,FALSE))</f>
        <v/>
      </c>
      <c r="E147" s="7" t="str">
        <f>IF(Table1345[[#This Row],[Product ID]]="","",VLOOKUP(Table1345[[#This Row],[Product ID]],data,5,FALSE))</f>
        <v/>
      </c>
      <c r="F147" s="7" t="str">
        <f>IF(Table1345[[#This Row],[Product ID]]="","",SUMIFS(Stockin!F:F,Stockin!A:A,Table1345[[#This Row],[Product ID]]))</f>
        <v/>
      </c>
      <c r="G147" s="7" t="str">
        <f>IF(Table1345[[#This Row],[Product ID]]="","",SUMIFS(StockOut!G:G,StockOut!B:B,Table1345[[#This Row],[Product ID]]))</f>
        <v/>
      </c>
      <c r="H147" s="7" t="str">
        <f>IF(Table1345[[#This Row],[Product ID]]="","",SUM(Table1345[[#This Row],[Unit ]]-Table1345[[#This Row],[Selling Price]])*Table1345[[#This Row],[Transact Qty]])</f>
        <v/>
      </c>
      <c r="I147" s="10" t="str">
        <f>IF(Table1345[[#This Row],[Product ID]]="","",SUMIFS(Stockin!E:E,Stockin!A:A,Table1345[[#This Row],[Product ID]]))</f>
        <v/>
      </c>
      <c r="J147" s="10" t="str">
        <f>IF(Table1345[[#This Row],[Product ID]]="","",SUMIFS(StockOut!F:F,StockOut!B:B,Table1345[[#This Row],[Product ID]]))</f>
        <v/>
      </c>
      <c r="K147" s="10" t="str">
        <f>IF(A146="","",IF(Table1345[[#This Row],[StockonHand]]&lt;5, "Re-Order","Available"))</f>
        <v/>
      </c>
      <c r="L147" s="10" t="str">
        <f>IF(Table1345[[#This Row],[Product ID]]="","",PRODUCT(Table1345[[#This Row],[Beginning Stocks]]-Table1345[[#This Row],[Transact Qty]]))</f>
        <v/>
      </c>
    </row>
    <row r="148" spans="1:12" ht="30" customHeight="1" x14ac:dyDescent="0.3">
      <c r="A148" s="4" t="str">
        <f t="shared" si="4"/>
        <v/>
      </c>
      <c r="B148" s="4" t="str">
        <f>IF(Table1345[[#This Row],[Product ID]]="","",VLOOKUP(Table1345[[#This Row],[Product ID]],data,2,FALSE))</f>
        <v/>
      </c>
      <c r="C148" s="4" t="str">
        <f>IF(Table1345[[#This Row],[Product ID]]="","",VLOOKUP(Table1345[[#This Row],[Product ID]],data,3,FALSE))</f>
        <v/>
      </c>
      <c r="D148" s="7" t="str">
        <f>IF(Table1345[[#This Row],[Product ID]]="","",VLOOKUP(Table1345[[#This Row],[Product ID]],data,4,FALSE))</f>
        <v/>
      </c>
      <c r="E148" s="7" t="str">
        <f>IF(Table1345[[#This Row],[Product ID]]="","",VLOOKUP(Table1345[[#This Row],[Product ID]],data,5,FALSE))</f>
        <v/>
      </c>
      <c r="F148" s="7" t="str">
        <f>IF(Table1345[[#This Row],[Product ID]]="","",SUMIFS(Stockin!F:F,Stockin!A:A,Table1345[[#This Row],[Product ID]]))</f>
        <v/>
      </c>
      <c r="G148" s="7" t="str">
        <f>IF(Table1345[[#This Row],[Product ID]]="","",SUMIFS(StockOut!G:G,StockOut!B:B,Table1345[[#This Row],[Product ID]]))</f>
        <v/>
      </c>
      <c r="H148" s="7" t="str">
        <f>IF(Table1345[[#This Row],[Product ID]]="","",SUM(Table1345[[#This Row],[Unit ]]-Table1345[[#This Row],[Selling Price]])*Table1345[[#This Row],[Transact Qty]])</f>
        <v/>
      </c>
      <c r="I148" s="10" t="str">
        <f>IF(Table1345[[#This Row],[Product ID]]="","",SUMIFS(Stockin!E:E,Stockin!A:A,Table1345[[#This Row],[Product ID]]))</f>
        <v/>
      </c>
      <c r="J148" s="10" t="str">
        <f>IF(Table1345[[#This Row],[Product ID]]="","",SUMIFS(StockOut!F:F,StockOut!B:B,Table1345[[#This Row],[Product ID]]))</f>
        <v/>
      </c>
      <c r="K148" s="10" t="str">
        <f>IF(A147="","",IF(Table1345[[#This Row],[StockonHand]]&lt;5, "Re-Order","Available"))</f>
        <v/>
      </c>
      <c r="L148" s="10" t="str">
        <f>IF(Table1345[[#This Row],[Product ID]]="","",PRODUCT(Table1345[[#This Row],[Beginning Stocks]]-Table1345[[#This Row],[Transact Qty]]))</f>
        <v/>
      </c>
    </row>
    <row r="149" spans="1:12" ht="30" customHeight="1" x14ac:dyDescent="0.3">
      <c r="A149" s="4" t="str">
        <f t="shared" si="4"/>
        <v/>
      </c>
      <c r="B149" s="4" t="str">
        <f>IF(Table1345[[#This Row],[Product ID]]="","",VLOOKUP(Table1345[[#This Row],[Product ID]],data,2,FALSE))</f>
        <v/>
      </c>
      <c r="C149" s="4" t="str">
        <f>IF(Table1345[[#This Row],[Product ID]]="","",VLOOKUP(Table1345[[#This Row],[Product ID]],data,3,FALSE))</f>
        <v/>
      </c>
      <c r="D149" s="7" t="str">
        <f>IF(Table1345[[#This Row],[Product ID]]="","",VLOOKUP(Table1345[[#This Row],[Product ID]],data,4,FALSE))</f>
        <v/>
      </c>
      <c r="E149" s="7" t="str">
        <f>IF(Table1345[[#This Row],[Product ID]]="","",VLOOKUP(Table1345[[#This Row],[Product ID]],data,5,FALSE))</f>
        <v/>
      </c>
      <c r="F149" s="7" t="str">
        <f>IF(Table1345[[#This Row],[Product ID]]="","",SUMIFS(Stockin!F:F,Stockin!A:A,Table1345[[#This Row],[Product ID]]))</f>
        <v/>
      </c>
      <c r="G149" s="7" t="str">
        <f>IF(Table1345[[#This Row],[Product ID]]="","",SUMIFS(StockOut!G:G,StockOut!B:B,Table1345[[#This Row],[Product ID]]))</f>
        <v/>
      </c>
      <c r="H149" s="7" t="str">
        <f>IF(Table1345[[#This Row],[Product ID]]="","",SUM(Table1345[[#This Row],[Unit ]]-Table1345[[#This Row],[Selling Price]])*Table1345[[#This Row],[Transact Qty]])</f>
        <v/>
      </c>
      <c r="I149" s="10" t="str">
        <f>IF(Table1345[[#This Row],[Product ID]]="","",SUMIFS(Stockin!E:E,Stockin!A:A,Table1345[[#This Row],[Product ID]]))</f>
        <v/>
      </c>
      <c r="J149" s="10" t="str">
        <f>IF(Table1345[[#This Row],[Product ID]]="","",SUMIFS(StockOut!F:F,StockOut!B:B,Table1345[[#This Row],[Product ID]]))</f>
        <v/>
      </c>
      <c r="K149" s="10" t="str">
        <f>IF(A148="","",IF(Table1345[[#This Row],[StockonHand]]&lt;5, "Re-Order","Available"))</f>
        <v/>
      </c>
      <c r="L149" s="10" t="str">
        <f>IF(Table1345[[#This Row],[Product ID]]="","",PRODUCT(Table1345[[#This Row],[Beginning Stocks]]-Table1345[[#This Row],[Transact Qty]]))</f>
        <v/>
      </c>
    </row>
    <row r="150" spans="1:12" ht="30" customHeight="1" x14ac:dyDescent="0.3">
      <c r="A150" s="4" t="str">
        <f t="shared" si="4"/>
        <v/>
      </c>
      <c r="B150" s="4" t="str">
        <f>IF(Table1345[[#This Row],[Product ID]]="","",VLOOKUP(Table1345[[#This Row],[Product ID]],data,2,FALSE))</f>
        <v/>
      </c>
      <c r="C150" s="4" t="str">
        <f>IF(Table1345[[#This Row],[Product ID]]="","",VLOOKUP(Table1345[[#This Row],[Product ID]],data,3,FALSE))</f>
        <v/>
      </c>
      <c r="D150" s="7" t="str">
        <f>IF(Table1345[[#This Row],[Product ID]]="","",VLOOKUP(Table1345[[#This Row],[Product ID]],data,4,FALSE))</f>
        <v/>
      </c>
      <c r="E150" s="7" t="str">
        <f>IF(Table1345[[#This Row],[Product ID]]="","",VLOOKUP(Table1345[[#This Row],[Product ID]],data,5,FALSE))</f>
        <v/>
      </c>
      <c r="F150" s="7" t="str">
        <f>IF(Table1345[[#This Row],[Product ID]]="","",SUMIFS(Stockin!F:F,Stockin!A:A,Table1345[[#This Row],[Product ID]]))</f>
        <v/>
      </c>
      <c r="G150" s="7" t="str">
        <f>IF(Table1345[[#This Row],[Product ID]]="","",SUMIFS(StockOut!G:G,StockOut!B:B,Table1345[[#This Row],[Product ID]]))</f>
        <v/>
      </c>
      <c r="H150" s="7" t="str">
        <f>IF(Table1345[[#This Row],[Product ID]]="","",SUM(Table1345[[#This Row],[Unit ]]-Table1345[[#This Row],[Selling Price]])*Table1345[[#This Row],[Transact Qty]])</f>
        <v/>
      </c>
      <c r="I150" s="10" t="str">
        <f>IF(Table1345[[#This Row],[Product ID]]="","",SUMIFS(Stockin!E:E,Stockin!A:A,Table1345[[#This Row],[Product ID]]))</f>
        <v/>
      </c>
      <c r="J150" s="10" t="str">
        <f>IF(Table1345[[#This Row],[Product ID]]="","",SUMIFS(StockOut!F:F,StockOut!B:B,Table1345[[#This Row],[Product ID]]))</f>
        <v/>
      </c>
      <c r="K150" s="10" t="str">
        <f>IF(A149="","",IF(Table1345[[#This Row],[StockonHand]]&lt;5, "Re-Order","Available"))</f>
        <v/>
      </c>
      <c r="L150" s="10" t="str">
        <f>IF(Table1345[[#This Row],[Product ID]]="","",PRODUCT(Table1345[[#This Row],[Beginning Stocks]]-Table1345[[#This Row],[Transact Qty]]))</f>
        <v/>
      </c>
    </row>
    <row r="151" spans="1:12" ht="30" customHeight="1" x14ac:dyDescent="0.3">
      <c r="A151" s="4" t="str">
        <f t="shared" si="4"/>
        <v/>
      </c>
      <c r="B151" s="4" t="str">
        <f>IF(Table1345[[#This Row],[Product ID]]="","",VLOOKUP(Table1345[[#This Row],[Product ID]],data,2,FALSE))</f>
        <v/>
      </c>
      <c r="C151" s="4" t="str">
        <f>IF(Table1345[[#This Row],[Product ID]]="","",VLOOKUP(Table1345[[#This Row],[Product ID]],data,3,FALSE))</f>
        <v/>
      </c>
      <c r="D151" s="7" t="str">
        <f>IF(Table1345[[#This Row],[Product ID]]="","",VLOOKUP(Table1345[[#This Row],[Product ID]],data,4,FALSE))</f>
        <v/>
      </c>
      <c r="E151" s="7" t="str">
        <f>IF(Table1345[[#This Row],[Product ID]]="","",VLOOKUP(Table1345[[#This Row],[Product ID]],data,5,FALSE))</f>
        <v/>
      </c>
      <c r="F151" s="7" t="str">
        <f>IF(Table1345[[#This Row],[Product ID]]="","",SUMIFS(Stockin!F:F,Stockin!A:A,Table1345[[#This Row],[Product ID]]))</f>
        <v/>
      </c>
      <c r="G151" s="7" t="str">
        <f>IF(Table1345[[#This Row],[Product ID]]="","",SUMIFS(StockOut!G:G,StockOut!B:B,Table1345[[#This Row],[Product ID]]))</f>
        <v/>
      </c>
      <c r="H151" s="7" t="str">
        <f>IF(Table1345[[#This Row],[Product ID]]="","",SUM(Table1345[[#This Row],[Unit ]]-Table1345[[#This Row],[Selling Price]])*Table1345[[#This Row],[Transact Qty]])</f>
        <v/>
      </c>
      <c r="I151" s="10" t="str">
        <f>IF(Table1345[[#This Row],[Product ID]]="","",SUMIFS(Stockin!E:E,Stockin!A:A,Table1345[[#This Row],[Product ID]]))</f>
        <v/>
      </c>
      <c r="J151" s="10" t="str">
        <f>IF(Table1345[[#This Row],[Product ID]]="","",SUMIFS(StockOut!F:F,StockOut!B:B,Table1345[[#This Row],[Product ID]]))</f>
        <v/>
      </c>
      <c r="K151" s="10" t="str">
        <f>IF(A150="","",IF(Table1345[[#This Row],[StockonHand]]&lt;5, "Re-Order","Available"))</f>
        <v/>
      </c>
      <c r="L151" s="10" t="str">
        <f>IF(Table1345[[#This Row],[Product ID]]="","",PRODUCT(Table1345[[#This Row],[Beginning Stocks]]-Table1345[[#This Row],[Transact Qty]]))</f>
        <v/>
      </c>
    </row>
    <row r="152" spans="1:12" ht="30" customHeight="1" x14ac:dyDescent="0.3">
      <c r="A152" s="4" t="str">
        <f t="shared" si="4"/>
        <v/>
      </c>
      <c r="B152" s="4" t="str">
        <f>IF(Table1345[[#This Row],[Product ID]]="","",VLOOKUP(Table1345[[#This Row],[Product ID]],data,2,FALSE))</f>
        <v/>
      </c>
      <c r="C152" s="4" t="str">
        <f>IF(Table1345[[#This Row],[Product ID]]="","",VLOOKUP(Table1345[[#This Row],[Product ID]],data,3,FALSE))</f>
        <v/>
      </c>
      <c r="D152" s="7" t="str">
        <f>IF(Table1345[[#This Row],[Product ID]]="","",VLOOKUP(Table1345[[#This Row],[Product ID]],data,4,FALSE))</f>
        <v/>
      </c>
      <c r="E152" s="7" t="str">
        <f>IF(Table1345[[#This Row],[Product ID]]="","",VLOOKUP(Table1345[[#This Row],[Product ID]],data,5,FALSE))</f>
        <v/>
      </c>
      <c r="F152" s="7" t="str">
        <f>IF(Table1345[[#This Row],[Product ID]]="","",SUMIFS(Stockin!F:F,Stockin!A:A,Table1345[[#This Row],[Product ID]]))</f>
        <v/>
      </c>
      <c r="G152" s="7" t="str">
        <f>IF(Table1345[[#This Row],[Product ID]]="","",SUMIFS(StockOut!G:G,StockOut!B:B,Table1345[[#This Row],[Product ID]]))</f>
        <v/>
      </c>
      <c r="H152" s="7" t="str">
        <f>IF(Table1345[[#This Row],[Product ID]]="","",SUM(Table1345[[#This Row],[Unit ]]-Table1345[[#This Row],[Selling Price]])*Table1345[[#This Row],[Transact Qty]])</f>
        <v/>
      </c>
      <c r="I152" s="10" t="str">
        <f>IF(Table1345[[#This Row],[Product ID]]="","",SUMIFS(Stockin!E:E,Stockin!A:A,Table1345[[#This Row],[Product ID]]))</f>
        <v/>
      </c>
      <c r="J152" s="10" t="str">
        <f>IF(Table1345[[#This Row],[Product ID]]="","",SUMIFS(StockOut!F:F,StockOut!B:B,Table1345[[#This Row],[Product ID]]))</f>
        <v/>
      </c>
      <c r="K152" s="10" t="str">
        <f>IF(A151="","",IF(Table1345[[#This Row],[StockonHand]]&lt;5, "Re-Order","Available"))</f>
        <v/>
      </c>
      <c r="L152" s="10" t="str">
        <f>IF(Table1345[[#This Row],[Product ID]]="","",PRODUCT(Table1345[[#This Row],[Beginning Stocks]]-Table1345[[#This Row],[Transact Qty]]))</f>
        <v/>
      </c>
    </row>
    <row r="153" spans="1:12" ht="30" customHeight="1" x14ac:dyDescent="0.3">
      <c r="A153" s="4" t="str">
        <f t="shared" si="4"/>
        <v/>
      </c>
      <c r="B153" s="4" t="str">
        <f>IF(Table1345[[#This Row],[Product ID]]="","",VLOOKUP(Table1345[[#This Row],[Product ID]],data,2,FALSE))</f>
        <v/>
      </c>
      <c r="C153" s="4" t="str">
        <f>IF(Table1345[[#This Row],[Product ID]]="","",VLOOKUP(Table1345[[#This Row],[Product ID]],data,3,FALSE))</f>
        <v/>
      </c>
      <c r="D153" s="7" t="str">
        <f>IF(Table1345[[#This Row],[Product ID]]="","",VLOOKUP(Table1345[[#This Row],[Product ID]],data,4,FALSE))</f>
        <v/>
      </c>
      <c r="E153" s="7" t="str">
        <f>IF(Table1345[[#This Row],[Product ID]]="","",VLOOKUP(Table1345[[#This Row],[Product ID]],data,5,FALSE))</f>
        <v/>
      </c>
      <c r="F153" s="7" t="str">
        <f>IF(Table1345[[#This Row],[Product ID]]="","",SUMIFS(Stockin!F:F,Stockin!A:A,Table1345[[#This Row],[Product ID]]))</f>
        <v/>
      </c>
      <c r="G153" s="7" t="str">
        <f>IF(Table1345[[#This Row],[Product ID]]="","",SUMIFS(StockOut!G:G,StockOut!B:B,Table1345[[#This Row],[Product ID]]))</f>
        <v/>
      </c>
      <c r="H153" s="7" t="str">
        <f>IF(Table1345[[#This Row],[Product ID]]="","",SUM(Table1345[[#This Row],[Unit ]]-Table1345[[#This Row],[Selling Price]])*Table1345[[#This Row],[Transact Qty]])</f>
        <v/>
      </c>
      <c r="I153" s="10" t="str">
        <f>IF(Table1345[[#This Row],[Product ID]]="","",SUMIFS(Stockin!E:E,Stockin!A:A,Table1345[[#This Row],[Product ID]]))</f>
        <v/>
      </c>
      <c r="J153" s="10" t="str">
        <f>IF(Table1345[[#This Row],[Product ID]]="","",SUMIFS(StockOut!F:F,StockOut!B:B,Table1345[[#This Row],[Product ID]]))</f>
        <v/>
      </c>
      <c r="K153" s="10" t="str">
        <f>IF(A152="","",IF(Table1345[[#This Row],[StockonHand]]&lt;5, "Re-Order","Available"))</f>
        <v/>
      </c>
      <c r="L153" s="10" t="str">
        <f>IF(Table1345[[#This Row],[Product ID]]="","",PRODUCT(Table1345[[#This Row],[Beginning Stocks]]-Table1345[[#This Row],[Transact Qty]]))</f>
        <v/>
      </c>
    </row>
    <row r="154" spans="1:12" ht="30" customHeight="1" x14ac:dyDescent="0.3">
      <c r="A154" s="4" t="str">
        <f t="shared" si="4"/>
        <v/>
      </c>
      <c r="B154" s="4" t="str">
        <f>IF(Table1345[[#This Row],[Product ID]]="","",VLOOKUP(Table1345[[#This Row],[Product ID]],data,2,FALSE))</f>
        <v/>
      </c>
      <c r="C154" s="4" t="str">
        <f>IF(Table1345[[#This Row],[Product ID]]="","",VLOOKUP(Table1345[[#This Row],[Product ID]],data,3,FALSE))</f>
        <v/>
      </c>
      <c r="D154" s="7" t="str">
        <f>IF(Table1345[[#This Row],[Product ID]]="","",VLOOKUP(Table1345[[#This Row],[Product ID]],data,4,FALSE))</f>
        <v/>
      </c>
      <c r="E154" s="7" t="str">
        <f>IF(Table1345[[#This Row],[Product ID]]="","",VLOOKUP(Table1345[[#This Row],[Product ID]],data,5,FALSE))</f>
        <v/>
      </c>
      <c r="F154" s="7" t="str">
        <f>IF(Table1345[[#This Row],[Product ID]]="","",SUMIFS(Stockin!F:F,Stockin!A:A,Table1345[[#This Row],[Product ID]]))</f>
        <v/>
      </c>
      <c r="G154" s="7" t="str">
        <f>IF(Table1345[[#This Row],[Product ID]]="","",SUMIFS(StockOut!G:G,StockOut!B:B,Table1345[[#This Row],[Product ID]]))</f>
        <v/>
      </c>
      <c r="H154" s="7" t="str">
        <f>IF(Table1345[[#This Row],[Product ID]]="","",SUM(Table1345[[#This Row],[Unit ]]-Table1345[[#This Row],[Selling Price]])*Table1345[[#This Row],[Transact Qty]])</f>
        <v/>
      </c>
      <c r="I154" s="10" t="str">
        <f>IF(Table1345[[#This Row],[Product ID]]="","",SUMIFS(Stockin!E:E,Stockin!A:A,Table1345[[#This Row],[Product ID]]))</f>
        <v/>
      </c>
      <c r="J154" s="10" t="str">
        <f>IF(Table1345[[#This Row],[Product ID]]="","",SUMIFS(StockOut!F:F,StockOut!B:B,Table1345[[#This Row],[Product ID]]))</f>
        <v/>
      </c>
      <c r="K154" s="10" t="str">
        <f>IF(A153="","",IF(Table1345[[#This Row],[StockonHand]]&lt;5, "Re-Order","Available"))</f>
        <v/>
      </c>
      <c r="L154" s="10" t="str">
        <f>IF(Table1345[[#This Row],[Product ID]]="","",PRODUCT(Table1345[[#This Row],[Beginning Stocks]]-Table1345[[#This Row],[Transact Qty]]))</f>
        <v/>
      </c>
    </row>
    <row r="155" spans="1:12" ht="30" customHeight="1" x14ac:dyDescent="0.3">
      <c r="A155" s="4" t="str">
        <f t="shared" si="4"/>
        <v/>
      </c>
      <c r="B155" s="4" t="str">
        <f>IF(Table1345[[#This Row],[Product ID]]="","",VLOOKUP(Table1345[[#This Row],[Product ID]],data,2,FALSE))</f>
        <v/>
      </c>
      <c r="C155" s="4" t="str">
        <f>IF(Table1345[[#This Row],[Product ID]]="","",VLOOKUP(Table1345[[#This Row],[Product ID]],data,3,FALSE))</f>
        <v/>
      </c>
      <c r="D155" s="7" t="str">
        <f>IF(Table1345[[#This Row],[Product ID]]="","",VLOOKUP(Table1345[[#This Row],[Product ID]],data,4,FALSE))</f>
        <v/>
      </c>
      <c r="E155" s="7" t="str">
        <f>IF(Table1345[[#This Row],[Product ID]]="","",VLOOKUP(Table1345[[#This Row],[Product ID]],data,5,FALSE))</f>
        <v/>
      </c>
      <c r="F155" s="7" t="str">
        <f>IF(Table1345[[#This Row],[Product ID]]="","",SUMIFS(Stockin!F:F,Stockin!A:A,Table1345[[#This Row],[Product ID]]))</f>
        <v/>
      </c>
      <c r="G155" s="7" t="str">
        <f>IF(Table1345[[#This Row],[Product ID]]="","",SUMIFS(StockOut!G:G,StockOut!B:B,Table1345[[#This Row],[Product ID]]))</f>
        <v/>
      </c>
      <c r="H155" s="7" t="str">
        <f>IF(Table1345[[#This Row],[Product ID]]="","",SUM(Table1345[[#This Row],[Unit ]]-Table1345[[#This Row],[Selling Price]])*Table1345[[#This Row],[Transact Qty]])</f>
        <v/>
      </c>
      <c r="I155" s="10" t="str">
        <f>IF(Table1345[[#This Row],[Product ID]]="","",SUMIFS(Stockin!E:E,Stockin!A:A,Table1345[[#This Row],[Product ID]]))</f>
        <v/>
      </c>
      <c r="J155" s="10" t="str">
        <f>IF(Table1345[[#This Row],[Product ID]]="","",SUMIFS(StockOut!F:F,StockOut!B:B,Table1345[[#This Row],[Product ID]]))</f>
        <v/>
      </c>
      <c r="K155" s="10" t="str">
        <f>IF(A154="","",IF(Table1345[[#This Row],[StockonHand]]&lt;5, "Re-Order","Available"))</f>
        <v/>
      </c>
      <c r="L155" s="10" t="str">
        <f>IF(Table1345[[#This Row],[Product ID]]="","",PRODUCT(Table1345[[#This Row],[Beginning Stocks]]-Table1345[[#This Row],[Transact Qty]]))</f>
        <v/>
      </c>
    </row>
    <row r="156" spans="1:12" ht="30" customHeight="1" x14ac:dyDescent="0.3">
      <c r="A156" s="4" t="str">
        <f t="shared" si="4"/>
        <v/>
      </c>
      <c r="B156" s="4" t="str">
        <f>IF(Table1345[[#This Row],[Product ID]]="","",VLOOKUP(Table1345[[#This Row],[Product ID]],data,2,FALSE))</f>
        <v/>
      </c>
      <c r="C156" s="4" t="str">
        <f>IF(Table1345[[#This Row],[Product ID]]="","",VLOOKUP(Table1345[[#This Row],[Product ID]],data,3,FALSE))</f>
        <v/>
      </c>
      <c r="D156" s="7" t="str">
        <f>IF(Table1345[[#This Row],[Product ID]]="","",VLOOKUP(Table1345[[#This Row],[Product ID]],data,4,FALSE))</f>
        <v/>
      </c>
      <c r="E156" s="7" t="str">
        <f>IF(Table1345[[#This Row],[Product ID]]="","",VLOOKUP(Table1345[[#This Row],[Product ID]],data,5,FALSE))</f>
        <v/>
      </c>
      <c r="F156" s="7" t="str">
        <f>IF(Table1345[[#This Row],[Product ID]]="","",SUMIFS(Stockin!F:F,Stockin!A:A,Table1345[[#This Row],[Product ID]]))</f>
        <v/>
      </c>
      <c r="G156" s="7" t="str">
        <f>IF(Table1345[[#This Row],[Product ID]]="","",SUMIFS(StockOut!G:G,StockOut!B:B,Table1345[[#This Row],[Product ID]]))</f>
        <v/>
      </c>
      <c r="H156" s="7" t="str">
        <f>IF(Table1345[[#This Row],[Product ID]]="","",SUM(Table1345[[#This Row],[Unit ]]-Table1345[[#This Row],[Selling Price]])*Table1345[[#This Row],[Transact Qty]])</f>
        <v/>
      </c>
      <c r="I156" s="10" t="str">
        <f>IF(Table1345[[#This Row],[Product ID]]="","",SUMIFS(Stockin!E:E,Stockin!A:A,Table1345[[#This Row],[Product ID]]))</f>
        <v/>
      </c>
      <c r="J156" s="10" t="str">
        <f>IF(Table1345[[#This Row],[Product ID]]="","",SUMIFS(StockOut!F:F,StockOut!B:B,Table1345[[#This Row],[Product ID]]))</f>
        <v/>
      </c>
      <c r="K156" s="10" t="str">
        <f>IF(A155="","",IF(Table1345[[#This Row],[StockonHand]]&lt;5, "Re-Order","Available"))</f>
        <v/>
      </c>
      <c r="L156" s="10" t="str">
        <f>IF(Table1345[[#This Row],[Product ID]]="","",PRODUCT(Table1345[[#This Row],[Beginning Stocks]]-Table1345[[#This Row],[Transact Qty]]))</f>
        <v/>
      </c>
    </row>
    <row r="157" spans="1:12" ht="30" customHeight="1" x14ac:dyDescent="0.3">
      <c r="A157" s="4" t="str">
        <f t="shared" si="4"/>
        <v/>
      </c>
      <c r="B157" s="4" t="str">
        <f>IF(Table1345[[#This Row],[Product ID]]="","",VLOOKUP(Table1345[[#This Row],[Product ID]],data,2,FALSE))</f>
        <v/>
      </c>
      <c r="C157" s="4" t="str">
        <f>IF(Table1345[[#This Row],[Product ID]]="","",VLOOKUP(Table1345[[#This Row],[Product ID]],data,3,FALSE))</f>
        <v/>
      </c>
      <c r="D157" s="7" t="str">
        <f>IF(Table1345[[#This Row],[Product ID]]="","",VLOOKUP(Table1345[[#This Row],[Product ID]],data,4,FALSE))</f>
        <v/>
      </c>
      <c r="E157" s="7" t="str">
        <f>IF(Table1345[[#This Row],[Product ID]]="","",VLOOKUP(Table1345[[#This Row],[Product ID]],data,5,FALSE))</f>
        <v/>
      </c>
      <c r="F157" s="7" t="str">
        <f>IF(Table1345[[#This Row],[Product ID]]="","",SUMIFS(Stockin!F:F,Stockin!A:A,Table1345[[#This Row],[Product ID]]))</f>
        <v/>
      </c>
      <c r="G157" s="7" t="str">
        <f>IF(Table1345[[#This Row],[Product ID]]="","",SUMIFS(StockOut!G:G,StockOut!B:B,Table1345[[#This Row],[Product ID]]))</f>
        <v/>
      </c>
      <c r="H157" s="7" t="str">
        <f>IF(Table1345[[#This Row],[Product ID]]="","",SUM(Table1345[[#This Row],[Unit ]]-Table1345[[#This Row],[Selling Price]])*Table1345[[#This Row],[Transact Qty]])</f>
        <v/>
      </c>
      <c r="I157" s="10" t="str">
        <f>IF(Table1345[[#This Row],[Product ID]]="","",SUMIFS(Stockin!E:E,Stockin!A:A,Table1345[[#This Row],[Product ID]]))</f>
        <v/>
      </c>
      <c r="J157" s="10" t="str">
        <f>IF(Table1345[[#This Row],[Product ID]]="","",SUMIFS(StockOut!F:F,StockOut!B:B,Table1345[[#This Row],[Product ID]]))</f>
        <v/>
      </c>
      <c r="K157" s="10" t="str">
        <f>IF(A156="","",IF(Table1345[[#This Row],[StockonHand]]&lt;5, "Re-Order","Available"))</f>
        <v/>
      </c>
      <c r="L157" s="10" t="str">
        <f>IF(Table1345[[#This Row],[Product ID]]="","",PRODUCT(Table1345[[#This Row],[Beginning Stocks]]-Table1345[[#This Row],[Transact Qty]]))</f>
        <v/>
      </c>
    </row>
    <row r="158" spans="1:12" ht="30" customHeight="1" x14ac:dyDescent="0.3">
      <c r="A158" s="4" t="str">
        <f t="shared" si="4"/>
        <v/>
      </c>
      <c r="B158" s="4" t="str">
        <f>IF(Table1345[[#This Row],[Product ID]]="","",VLOOKUP(Table1345[[#This Row],[Product ID]],data,2,FALSE))</f>
        <v/>
      </c>
      <c r="C158" s="4" t="str">
        <f>IF(Table1345[[#This Row],[Product ID]]="","",VLOOKUP(Table1345[[#This Row],[Product ID]],data,3,FALSE))</f>
        <v/>
      </c>
      <c r="D158" s="7" t="str">
        <f>IF(Table1345[[#This Row],[Product ID]]="","",VLOOKUP(Table1345[[#This Row],[Product ID]],data,4,FALSE))</f>
        <v/>
      </c>
      <c r="E158" s="7" t="str">
        <f>IF(Table1345[[#This Row],[Product ID]]="","",VLOOKUP(Table1345[[#This Row],[Product ID]],data,5,FALSE))</f>
        <v/>
      </c>
      <c r="F158" s="7" t="str">
        <f>IF(Table1345[[#This Row],[Product ID]]="","",SUMIFS(Stockin!F:F,Stockin!A:A,Table1345[[#This Row],[Product ID]]))</f>
        <v/>
      </c>
      <c r="G158" s="7" t="str">
        <f>IF(Table1345[[#This Row],[Product ID]]="","",SUMIFS(StockOut!G:G,StockOut!B:B,Table1345[[#This Row],[Product ID]]))</f>
        <v/>
      </c>
      <c r="H158" s="7" t="str">
        <f>IF(Table1345[[#This Row],[Product ID]]="","",SUM(Table1345[[#This Row],[Unit ]]-Table1345[[#This Row],[Selling Price]])*Table1345[[#This Row],[Transact Qty]])</f>
        <v/>
      </c>
      <c r="I158" s="10" t="str">
        <f>IF(Table1345[[#This Row],[Product ID]]="","",SUMIFS(Stockin!E:E,Stockin!A:A,Table1345[[#This Row],[Product ID]]))</f>
        <v/>
      </c>
      <c r="J158" s="10" t="str">
        <f>IF(Table1345[[#This Row],[Product ID]]="","",SUMIFS(StockOut!F:F,StockOut!B:B,Table1345[[#This Row],[Product ID]]))</f>
        <v/>
      </c>
      <c r="K158" s="10" t="str">
        <f>IF(A157="","",IF(Table1345[[#This Row],[StockonHand]]&lt;5, "Re-Order","Available"))</f>
        <v/>
      </c>
      <c r="L158" s="10" t="str">
        <f>IF(Table1345[[#This Row],[Product ID]]="","",PRODUCT(Table1345[[#This Row],[Beginning Stocks]]-Table1345[[#This Row],[Transact Qty]]))</f>
        <v/>
      </c>
    </row>
    <row r="159" spans="1:12" ht="30" customHeight="1" x14ac:dyDescent="0.3">
      <c r="A159" s="4" t="str">
        <f t="shared" si="4"/>
        <v/>
      </c>
      <c r="B159" s="4" t="str">
        <f>IF(Table1345[[#This Row],[Product ID]]="","",VLOOKUP(Table1345[[#This Row],[Product ID]],data,2,FALSE))</f>
        <v/>
      </c>
      <c r="C159" s="4" t="str">
        <f>IF(Table1345[[#This Row],[Product ID]]="","",VLOOKUP(Table1345[[#This Row],[Product ID]],data,3,FALSE))</f>
        <v/>
      </c>
      <c r="D159" s="7" t="str">
        <f>IF(Table1345[[#This Row],[Product ID]]="","",VLOOKUP(Table1345[[#This Row],[Product ID]],data,4,FALSE))</f>
        <v/>
      </c>
      <c r="E159" s="7" t="str">
        <f>IF(Table1345[[#This Row],[Product ID]]="","",VLOOKUP(Table1345[[#This Row],[Product ID]],data,5,FALSE))</f>
        <v/>
      </c>
      <c r="F159" s="7" t="str">
        <f>IF(Table1345[[#This Row],[Product ID]]="","",SUMIFS(Stockin!F:F,Stockin!A:A,Table1345[[#This Row],[Product ID]]))</f>
        <v/>
      </c>
      <c r="G159" s="7" t="str">
        <f>IF(Table1345[[#This Row],[Product ID]]="","",SUMIFS(StockOut!G:G,StockOut!B:B,Table1345[[#This Row],[Product ID]]))</f>
        <v/>
      </c>
      <c r="H159" s="7" t="str">
        <f>IF(Table1345[[#This Row],[Product ID]]="","",SUM(Table1345[[#This Row],[Unit ]]-Table1345[[#This Row],[Selling Price]])*Table1345[[#This Row],[Transact Qty]])</f>
        <v/>
      </c>
      <c r="I159" s="10" t="str">
        <f>IF(Table1345[[#This Row],[Product ID]]="","",SUMIFS(Stockin!E:E,Stockin!A:A,Table1345[[#This Row],[Product ID]]))</f>
        <v/>
      </c>
      <c r="J159" s="10" t="str">
        <f>IF(Table1345[[#This Row],[Product ID]]="","",SUMIFS(StockOut!F:F,StockOut!B:B,Table1345[[#This Row],[Product ID]]))</f>
        <v/>
      </c>
      <c r="K159" s="10" t="str">
        <f>IF(A158="","",IF(Table1345[[#This Row],[StockonHand]]&lt;5, "Re-Order","Available"))</f>
        <v/>
      </c>
      <c r="L159" s="10" t="str">
        <f>IF(Table1345[[#This Row],[Product ID]]="","",PRODUCT(Table1345[[#This Row],[Beginning Stocks]]-Table1345[[#This Row],[Transact Qty]]))</f>
        <v/>
      </c>
    </row>
    <row r="160" spans="1:12" ht="30" customHeight="1" x14ac:dyDescent="0.3">
      <c r="A160" s="4" t="str">
        <f t="shared" si="4"/>
        <v/>
      </c>
      <c r="B160" s="4" t="str">
        <f>IF(Table1345[[#This Row],[Product ID]]="","",VLOOKUP(Table1345[[#This Row],[Product ID]],data,2,FALSE))</f>
        <v/>
      </c>
      <c r="C160" s="4" t="str">
        <f>IF(Table1345[[#This Row],[Product ID]]="","",VLOOKUP(Table1345[[#This Row],[Product ID]],data,3,FALSE))</f>
        <v/>
      </c>
      <c r="D160" s="7" t="str">
        <f>IF(Table1345[[#This Row],[Product ID]]="","",VLOOKUP(Table1345[[#This Row],[Product ID]],data,4,FALSE))</f>
        <v/>
      </c>
      <c r="E160" s="7" t="str">
        <f>IF(Table1345[[#This Row],[Product ID]]="","",VLOOKUP(Table1345[[#This Row],[Product ID]],data,5,FALSE))</f>
        <v/>
      </c>
      <c r="F160" s="7" t="str">
        <f>IF(Table1345[[#This Row],[Product ID]]="","",SUMIFS(Stockin!F:F,Stockin!A:A,Table1345[[#This Row],[Product ID]]))</f>
        <v/>
      </c>
      <c r="G160" s="7" t="str">
        <f>IF(Table1345[[#This Row],[Product ID]]="","",SUMIFS(StockOut!G:G,StockOut!B:B,Table1345[[#This Row],[Product ID]]))</f>
        <v/>
      </c>
      <c r="H160" s="7" t="str">
        <f>IF(Table1345[[#This Row],[Product ID]]="","",SUM(Table1345[[#This Row],[Unit ]]-Table1345[[#This Row],[Selling Price]])*Table1345[[#This Row],[Transact Qty]])</f>
        <v/>
      </c>
      <c r="I160" s="10" t="str">
        <f>IF(Table1345[[#This Row],[Product ID]]="","",SUMIFS(Stockin!E:E,Stockin!A:A,Table1345[[#This Row],[Product ID]]))</f>
        <v/>
      </c>
      <c r="J160" s="10" t="str">
        <f>IF(Table1345[[#This Row],[Product ID]]="","",SUMIFS(StockOut!F:F,StockOut!B:B,Table1345[[#This Row],[Product ID]]))</f>
        <v/>
      </c>
      <c r="K160" s="10" t="str">
        <f>IF(A159="","",IF(Table1345[[#This Row],[StockonHand]]&lt;5, "Re-Order","Available"))</f>
        <v/>
      </c>
      <c r="L160" s="10" t="str">
        <f>IF(Table1345[[#This Row],[Product ID]]="","",PRODUCT(Table1345[[#This Row],[Beginning Stocks]]-Table1345[[#This Row],[Transact Qty]]))</f>
        <v/>
      </c>
    </row>
    <row r="161" spans="1:12" ht="30" customHeight="1" x14ac:dyDescent="0.3">
      <c r="A161" s="4" t="str">
        <f t="shared" si="4"/>
        <v/>
      </c>
      <c r="B161" s="4" t="str">
        <f>IF(Table1345[[#This Row],[Product ID]]="","",VLOOKUP(Table1345[[#This Row],[Product ID]],data,2,FALSE))</f>
        <v/>
      </c>
      <c r="C161" s="4" t="str">
        <f>IF(Table1345[[#This Row],[Product ID]]="","",VLOOKUP(Table1345[[#This Row],[Product ID]],data,3,FALSE))</f>
        <v/>
      </c>
      <c r="D161" s="7" t="str">
        <f>IF(Table1345[[#This Row],[Product ID]]="","",VLOOKUP(Table1345[[#This Row],[Product ID]],data,4,FALSE))</f>
        <v/>
      </c>
      <c r="E161" s="7" t="str">
        <f>IF(Table1345[[#This Row],[Product ID]]="","",VLOOKUP(Table1345[[#This Row],[Product ID]],data,5,FALSE))</f>
        <v/>
      </c>
      <c r="F161" s="7" t="str">
        <f>IF(Table1345[[#This Row],[Product ID]]="","",SUMIFS(Stockin!F:F,Stockin!A:A,Table1345[[#This Row],[Product ID]]))</f>
        <v/>
      </c>
      <c r="G161" s="7" t="str">
        <f>IF(Table1345[[#This Row],[Product ID]]="","",SUMIFS(StockOut!G:G,StockOut!B:B,Table1345[[#This Row],[Product ID]]))</f>
        <v/>
      </c>
      <c r="H161" s="7" t="str">
        <f>IF(Table1345[[#This Row],[Product ID]]="","",SUM(Table1345[[#This Row],[Unit ]]-Table1345[[#This Row],[Selling Price]])*Table1345[[#This Row],[Transact Qty]])</f>
        <v/>
      </c>
      <c r="I161" s="10" t="str">
        <f>IF(Table1345[[#This Row],[Product ID]]="","",SUMIFS(Stockin!E:E,Stockin!A:A,Table1345[[#This Row],[Product ID]]))</f>
        <v/>
      </c>
      <c r="J161" s="10" t="str">
        <f>IF(Table1345[[#This Row],[Product ID]]="","",SUMIFS(StockOut!F:F,StockOut!B:B,Table1345[[#This Row],[Product ID]]))</f>
        <v/>
      </c>
      <c r="K161" s="10" t="str">
        <f>IF(A160="","",IF(Table1345[[#This Row],[StockonHand]]&lt;5, "Re-Order","Available"))</f>
        <v/>
      </c>
      <c r="L161" s="10" t="str">
        <f>IF(Table1345[[#This Row],[Product ID]]="","",PRODUCT(Table1345[[#This Row],[Beginning Stocks]]-Table1345[[#This Row],[Transact Qty]]))</f>
        <v/>
      </c>
    </row>
    <row r="162" spans="1:12" ht="30" customHeight="1" x14ac:dyDescent="0.3">
      <c r="A162" s="4" t="str">
        <f t="shared" ref="A162:A191" si="5">IF(item="","",item)</f>
        <v/>
      </c>
      <c r="B162" s="4" t="str">
        <f>IF(Table1345[[#This Row],[Product ID]]="","",VLOOKUP(Table1345[[#This Row],[Product ID]],data,2,FALSE))</f>
        <v/>
      </c>
      <c r="C162" s="4" t="str">
        <f>IF(Table1345[[#This Row],[Product ID]]="","",VLOOKUP(Table1345[[#This Row],[Product ID]],data,3,FALSE))</f>
        <v/>
      </c>
      <c r="D162" s="7" t="str">
        <f>IF(Table1345[[#This Row],[Product ID]]="","",VLOOKUP(Table1345[[#This Row],[Product ID]],data,4,FALSE))</f>
        <v/>
      </c>
      <c r="E162" s="7" t="str">
        <f>IF(Table1345[[#This Row],[Product ID]]="","",VLOOKUP(Table1345[[#This Row],[Product ID]],data,5,FALSE))</f>
        <v/>
      </c>
      <c r="F162" s="7" t="str">
        <f>IF(Table1345[[#This Row],[Product ID]]="","",SUMIFS(Stockin!F:F,Stockin!A:A,Table1345[[#This Row],[Product ID]]))</f>
        <v/>
      </c>
      <c r="G162" s="7" t="str">
        <f>IF(Table1345[[#This Row],[Product ID]]="","",SUMIFS(StockOut!G:G,StockOut!B:B,Table1345[[#This Row],[Product ID]]))</f>
        <v/>
      </c>
      <c r="H162" s="7" t="str">
        <f>IF(Table1345[[#This Row],[Product ID]]="","",SUM(Table1345[[#This Row],[Unit ]]-Table1345[[#This Row],[Selling Price]])*Table1345[[#This Row],[Transact Qty]])</f>
        <v/>
      </c>
      <c r="I162" s="10" t="str">
        <f>IF(Table1345[[#This Row],[Product ID]]="","",SUMIFS(Stockin!E:E,Stockin!A:A,Table1345[[#This Row],[Product ID]]))</f>
        <v/>
      </c>
      <c r="J162" s="10" t="str">
        <f>IF(Table1345[[#This Row],[Product ID]]="","",SUMIFS(StockOut!F:F,StockOut!B:B,Table1345[[#This Row],[Product ID]]))</f>
        <v/>
      </c>
      <c r="K162" s="10" t="str">
        <f>IF(A161="","",IF(Table1345[[#This Row],[StockonHand]]&lt;5, "Re-Order","Available"))</f>
        <v/>
      </c>
      <c r="L162" s="10" t="str">
        <f>IF(Table1345[[#This Row],[Product ID]]="","",PRODUCT(Table1345[[#This Row],[Beginning Stocks]]-Table1345[[#This Row],[Transact Qty]]))</f>
        <v/>
      </c>
    </row>
    <row r="163" spans="1:12" ht="30" customHeight="1" x14ac:dyDescent="0.3">
      <c r="A163" s="4" t="str">
        <f t="shared" si="5"/>
        <v/>
      </c>
      <c r="B163" s="4" t="str">
        <f>IF(Table1345[[#This Row],[Product ID]]="","",VLOOKUP(Table1345[[#This Row],[Product ID]],data,2,FALSE))</f>
        <v/>
      </c>
      <c r="C163" s="4" t="str">
        <f>IF(Table1345[[#This Row],[Product ID]]="","",VLOOKUP(Table1345[[#This Row],[Product ID]],data,3,FALSE))</f>
        <v/>
      </c>
      <c r="D163" s="7" t="str">
        <f>IF(Table1345[[#This Row],[Product ID]]="","",VLOOKUP(Table1345[[#This Row],[Product ID]],data,4,FALSE))</f>
        <v/>
      </c>
      <c r="E163" s="7" t="str">
        <f>IF(Table1345[[#This Row],[Product ID]]="","",VLOOKUP(Table1345[[#This Row],[Product ID]],data,5,FALSE))</f>
        <v/>
      </c>
      <c r="F163" s="7" t="str">
        <f>IF(Table1345[[#This Row],[Product ID]]="","",SUMIFS(Stockin!F:F,Stockin!A:A,Table1345[[#This Row],[Product ID]]))</f>
        <v/>
      </c>
      <c r="G163" s="7" t="str">
        <f>IF(Table1345[[#This Row],[Product ID]]="","",SUMIFS(StockOut!G:G,StockOut!B:B,Table1345[[#This Row],[Product ID]]))</f>
        <v/>
      </c>
      <c r="H163" s="7" t="str">
        <f>IF(Table1345[[#This Row],[Product ID]]="","",SUM(Table1345[[#This Row],[Unit ]]-Table1345[[#This Row],[Selling Price]])*Table1345[[#This Row],[Transact Qty]])</f>
        <v/>
      </c>
      <c r="I163" s="10" t="str">
        <f>IF(Table1345[[#This Row],[Product ID]]="","",SUMIFS(Stockin!E:E,Stockin!A:A,Table1345[[#This Row],[Product ID]]))</f>
        <v/>
      </c>
      <c r="J163" s="10" t="str">
        <f>IF(Table1345[[#This Row],[Product ID]]="","",SUMIFS(StockOut!F:F,StockOut!B:B,Table1345[[#This Row],[Product ID]]))</f>
        <v/>
      </c>
      <c r="K163" s="10" t="str">
        <f>IF(A162="","",IF(Table1345[[#This Row],[StockonHand]]&lt;5, "Re-Order","Available"))</f>
        <v/>
      </c>
      <c r="L163" s="10" t="str">
        <f>IF(Table1345[[#This Row],[Product ID]]="","",PRODUCT(Table1345[[#This Row],[Beginning Stocks]]-Table1345[[#This Row],[Transact Qty]]))</f>
        <v/>
      </c>
    </row>
    <row r="164" spans="1:12" ht="30" customHeight="1" x14ac:dyDescent="0.3">
      <c r="A164" s="4" t="str">
        <f t="shared" si="5"/>
        <v/>
      </c>
      <c r="B164" s="4" t="str">
        <f>IF(Table1345[[#This Row],[Product ID]]="","",VLOOKUP(Table1345[[#This Row],[Product ID]],data,2,FALSE))</f>
        <v/>
      </c>
      <c r="C164" s="4" t="str">
        <f>IF(Table1345[[#This Row],[Product ID]]="","",VLOOKUP(Table1345[[#This Row],[Product ID]],data,3,FALSE))</f>
        <v/>
      </c>
      <c r="D164" s="7" t="str">
        <f>IF(Table1345[[#This Row],[Product ID]]="","",VLOOKUP(Table1345[[#This Row],[Product ID]],data,4,FALSE))</f>
        <v/>
      </c>
      <c r="E164" s="7" t="str">
        <f>IF(Table1345[[#This Row],[Product ID]]="","",VLOOKUP(Table1345[[#This Row],[Product ID]],data,5,FALSE))</f>
        <v/>
      </c>
      <c r="F164" s="7" t="str">
        <f>IF(Table1345[[#This Row],[Product ID]]="","",SUMIFS(Stockin!F:F,Stockin!A:A,Table1345[[#This Row],[Product ID]]))</f>
        <v/>
      </c>
      <c r="G164" s="7" t="str">
        <f>IF(Table1345[[#This Row],[Product ID]]="","",SUMIFS(StockOut!G:G,StockOut!B:B,Table1345[[#This Row],[Product ID]]))</f>
        <v/>
      </c>
      <c r="H164" s="7" t="str">
        <f>IF(Table1345[[#This Row],[Product ID]]="","",SUM(Table1345[[#This Row],[Unit ]]-Table1345[[#This Row],[Selling Price]])*Table1345[[#This Row],[Transact Qty]])</f>
        <v/>
      </c>
      <c r="I164" s="10" t="str">
        <f>IF(Table1345[[#This Row],[Product ID]]="","",SUMIFS(Stockin!E:E,Stockin!A:A,Table1345[[#This Row],[Product ID]]))</f>
        <v/>
      </c>
      <c r="J164" s="10" t="str">
        <f>IF(Table1345[[#This Row],[Product ID]]="","",SUMIFS(StockOut!F:F,StockOut!B:B,Table1345[[#This Row],[Product ID]]))</f>
        <v/>
      </c>
      <c r="K164" s="10" t="str">
        <f>IF(A163="","",IF(Table1345[[#This Row],[StockonHand]]&lt;5, "Re-Order","Available"))</f>
        <v/>
      </c>
      <c r="L164" s="10" t="str">
        <f>IF(Table1345[[#This Row],[Product ID]]="","",PRODUCT(Table1345[[#This Row],[Beginning Stocks]]-Table1345[[#This Row],[Transact Qty]]))</f>
        <v/>
      </c>
    </row>
    <row r="165" spans="1:12" ht="30" customHeight="1" x14ac:dyDescent="0.3">
      <c r="A165" s="4" t="str">
        <f t="shared" si="5"/>
        <v/>
      </c>
      <c r="B165" s="4" t="str">
        <f>IF(Table1345[[#This Row],[Product ID]]="","",VLOOKUP(Table1345[[#This Row],[Product ID]],data,2,FALSE))</f>
        <v/>
      </c>
      <c r="C165" s="4" t="str">
        <f>IF(Table1345[[#This Row],[Product ID]]="","",VLOOKUP(Table1345[[#This Row],[Product ID]],data,3,FALSE))</f>
        <v/>
      </c>
      <c r="D165" s="7" t="str">
        <f>IF(Table1345[[#This Row],[Product ID]]="","",VLOOKUP(Table1345[[#This Row],[Product ID]],data,4,FALSE))</f>
        <v/>
      </c>
      <c r="E165" s="7" t="str">
        <f>IF(Table1345[[#This Row],[Product ID]]="","",VLOOKUP(Table1345[[#This Row],[Product ID]],data,5,FALSE))</f>
        <v/>
      </c>
      <c r="F165" s="7" t="str">
        <f>IF(Table1345[[#This Row],[Product ID]]="","",SUMIFS(Stockin!F:F,Stockin!A:A,Table1345[[#This Row],[Product ID]]))</f>
        <v/>
      </c>
      <c r="G165" s="7" t="str">
        <f>IF(Table1345[[#This Row],[Product ID]]="","",SUMIFS(StockOut!G:G,StockOut!B:B,Table1345[[#This Row],[Product ID]]))</f>
        <v/>
      </c>
      <c r="H165" s="7" t="str">
        <f>IF(Table1345[[#This Row],[Product ID]]="","",SUM(Table1345[[#This Row],[Unit ]]-Table1345[[#This Row],[Selling Price]])*Table1345[[#This Row],[Transact Qty]])</f>
        <v/>
      </c>
      <c r="I165" s="10" t="str">
        <f>IF(Table1345[[#This Row],[Product ID]]="","",SUMIFS(Stockin!E:E,Stockin!A:A,Table1345[[#This Row],[Product ID]]))</f>
        <v/>
      </c>
      <c r="J165" s="10" t="str">
        <f>IF(Table1345[[#This Row],[Product ID]]="","",SUMIFS(StockOut!F:F,StockOut!B:B,Table1345[[#This Row],[Product ID]]))</f>
        <v/>
      </c>
      <c r="K165" s="10" t="str">
        <f>IF(A164="","",IF(Table1345[[#This Row],[StockonHand]]&lt;5, "Re-Order","Available"))</f>
        <v/>
      </c>
      <c r="L165" s="10" t="str">
        <f>IF(Table1345[[#This Row],[Product ID]]="","",PRODUCT(Table1345[[#This Row],[Beginning Stocks]]-Table1345[[#This Row],[Transact Qty]]))</f>
        <v/>
      </c>
    </row>
    <row r="166" spans="1:12" ht="30" customHeight="1" x14ac:dyDescent="0.3">
      <c r="A166" s="4" t="str">
        <f t="shared" si="5"/>
        <v/>
      </c>
      <c r="B166" s="4" t="str">
        <f>IF(Table1345[[#This Row],[Product ID]]="","",VLOOKUP(Table1345[[#This Row],[Product ID]],data,2,FALSE))</f>
        <v/>
      </c>
      <c r="C166" s="4" t="str">
        <f>IF(Table1345[[#This Row],[Product ID]]="","",VLOOKUP(Table1345[[#This Row],[Product ID]],data,3,FALSE))</f>
        <v/>
      </c>
      <c r="D166" s="7" t="str">
        <f>IF(Table1345[[#This Row],[Product ID]]="","",VLOOKUP(Table1345[[#This Row],[Product ID]],data,4,FALSE))</f>
        <v/>
      </c>
      <c r="E166" s="7" t="str">
        <f>IF(Table1345[[#This Row],[Product ID]]="","",VLOOKUP(Table1345[[#This Row],[Product ID]],data,5,FALSE))</f>
        <v/>
      </c>
      <c r="F166" s="7" t="str">
        <f>IF(Table1345[[#This Row],[Product ID]]="","",SUMIFS(Stockin!F:F,Stockin!A:A,Table1345[[#This Row],[Product ID]]))</f>
        <v/>
      </c>
      <c r="G166" s="7" t="str">
        <f>IF(Table1345[[#This Row],[Product ID]]="","",SUMIFS(StockOut!G:G,StockOut!B:B,Table1345[[#This Row],[Product ID]]))</f>
        <v/>
      </c>
      <c r="H166" s="7" t="str">
        <f>IF(Table1345[[#This Row],[Product ID]]="","",SUM(Table1345[[#This Row],[Unit ]]-Table1345[[#This Row],[Selling Price]])*Table1345[[#This Row],[Transact Qty]])</f>
        <v/>
      </c>
      <c r="I166" s="10" t="str">
        <f>IF(Table1345[[#This Row],[Product ID]]="","",SUMIFS(Stockin!E:E,Stockin!A:A,Table1345[[#This Row],[Product ID]]))</f>
        <v/>
      </c>
      <c r="J166" s="10" t="str">
        <f>IF(Table1345[[#This Row],[Product ID]]="","",SUMIFS(StockOut!F:F,StockOut!B:B,Table1345[[#This Row],[Product ID]]))</f>
        <v/>
      </c>
      <c r="K166" s="10" t="str">
        <f>IF(A165="","",IF(Table1345[[#This Row],[StockonHand]]&lt;5, "Re-Order","Available"))</f>
        <v/>
      </c>
      <c r="L166" s="10" t="str">
        <f>IF(Table1345[[#This Row],[Product ID]]="","",PRODUCT(Table1345[[#This Row],[Beginning Stocks]]-Table1345[[#This Row],[Transact Qty]]))</f>
        <v/>
      </c>
    </row>
    <row r="167" spans="1:12" ht="30" customHeight="1" x14ac:dyDescent="0.3">
      <c r="A167" s="4" t="str">
        <f t="shared" si="5"/>
        <v/>
      </c>
      <c r="B167" s="4" t="str">
        <f>IF(Table1345[[#This Row],[Product ID]]="","",VLOOKUP(Table1345[[#This Row],[Product ID]],data,2,FALSE))</f>
        <v/>
      </c>
      <c r="C167" s="4" t="str">
        <f>IF(Table1345[[#This Row],[Product ID]]="","",VLOOKUP(Table1345[[#This Row],[Product ID]],data,3,FALSE))</f>
        <v/>
      </c>
      <c r="D167" s="7" t="str">
        <f>IF(Table1345[[#This Row],[Product ID]]="","",VLOOKUP(Table1345[[#This Row],[Product ID]],data,4,FALSE))</f>
        <v/>
      </c>
      <c r="E167" s="7" t="str">
        <f>IF(Table1345[[#This Row],[Product ID]]="","",VLOOKUP(Table1345[[#This Row],[Product ID]],data,5,FALSE))</f>
        <v/>
      </c>
      <c r="F167" s="7" t="str">
        <f>IF(Table1345[[#This Row],[Product ID]]="","",SUMIFS(Stockin!F:F,Stockin!A:A,Table1345[[#This Row],[Product ID]]))</f>
        <v/>
      </c>
      <c r="G167" s="7" t="str">
        <f>IF(Table1345[[#This Row],[Product ID]]="","",SUMIFS(StockOut!G:G,StockOut!B:B,Table1345[[#This Row],[Product ID]]))</f>
        <v/>
      </c>
      <c r="H167" s="7" t="str">
        <f>IF(Table1345[[#This Row],[Product ID]]="","",SUM(Table1345[[#This Row],[Unit ]]-Table1345[[#This Row],[Selling Price]])*Table1345[[#This Row],[Transact Qty]])</f>
        <v/>
      </c>
      <c r="I167" s="10" t="str">
        <f>IF(Table1345[[#This Row],[Product ID]]="","",SUMIFS(Stockin!E:E,Stockin!A:A,Table1345[[#This Row],[Product ID]]))</f>
        <v/>
      </c>
      <c r="J167" s="10" t="str">
        <f>IF(Table1345[[#This Row],[Product ID]]="","",SUMIFS(StockOut!F:F,StockOut!B:B,Table1345[[#This Row],[Product ID]]))</f>
        <v/>
      </c>
      <c r="K167" s="10" t="str">
        <f>IF(A166="","",IF(Table1345[[#This Row],[StockonHand]]&lt;5, "Re-Order","Available"))</f>
        <v/>
      </c>
      <c r="L167" s="10" t="str">
        <f>IF(Table1345[[#This Row],[Product ID]]="","",PRODUCT(Table1345[[#This Row],[Beginning Stocks]]-Table1345[[#This Row],[Transact Qty]]))</f>
        <v/>
      </c>
    </row>
    <row r="168" spans="1:12" ht="30" customHeight="1" x14ac:dyDescent="0.3">
      <c r="A168" s="4" t="str">
        <f t="shared" si="5"/>
        <v/>
      </c>
      <c r="B168" s="4" t="str">
        <f>IF(Table1345[[#This Row],[Product ID]]="","",VLOOKUP(Table1345[[#This Row],[Product ID]],data,2,FALSE))</f>
        <v/>
      </c>
      <c r="C168" s="4" t="str">
        <f>IF(Table1345[[#This Row],[Product ID]]="","",VLOOKUP(Table1345[[#This Row],[Product ID]],data,3,FALSE))</f>
        <v/>
      </c>
      <c r="D168" s="7" t="str">
        <f>IF(Table1345[[#This Row],[Product ID]]="","",VLOOKUP(Table1345[[#This Row],[Product ID]],data,4,FALSE))</f>
        <v/>
      </c>
      <c r="E168" s="7" t="str">
        <f>IF(Table1345[[#This Row],[Product ID]]="","",VLOOKUP(Table1345[[#This Row],[Product ID]],data,5,FALSE))</f>
        <v/>
      </c>
      <c r="F168" s="7" t="str">
        <f>IF(Table1345[[#This Row],[Product ID]]="","",SUMIFS(Stockin!F:F,Stockin!A:A,Table1345[[#This Row],[Product ID]]))</f>
        <v/>
      </c>
      <c r="G168" s="7" t="str">
        <f>IF(Table1345[[#This Row],[Product ID]]="","",SUMIFS(StockOut!G:G,StockOut!B:B,Table1345[[#This Row],[Product ID]]))</f>
        <v/>
      </c>
      <c r="H168" s="7" t="str">
        <f>IF(Table1345[[#This Row],[Product ID]]="","",SUM(Table1345[[#This Row],[Unit ]]-Table1345[[#This Row],[Selling Price]])*Table1345[[#This Row],[Transact Qty]])</f>
        <v/>
      </c>
      <c r="I168" s="10" t="str">
        <f>IF(Table1345[[#This Row],[Product ID]]="","",SUMIFS(Stockin!E:E,Stockin!A:A,Table1345[[#This Row],[Product ID]]))</f>
        <v/>
      </c>
      <c r="J168" s="10" t="str">
        <f>IF(Table1345[[#This Row],[Product ID]]="","",SUMIFS(StockOut!F:F,StockOut!B:B,Table1345[[#This Row],[Product ID]]))</f>
        <v/>
      </c>
      <c r="K168" s="10" t="str">
        <f>IF(A167="","",IF(Table1345[[#This Row],[StockonHand]]&lt;5, "Re-Order","Available"))</f>
        <v/>
      </c>
      <c r="L168" s="10" t="str">
        <f>IF(Table1345[[#This Row],[Product ID]]="","",PRODUCT(Table1345[[#This Row],[Beginning Stocks]]-Table1345[[#This Row],[Transact Qty]]))</f>
        <v/>
      </c>
    </row>
    <row r="169" spans="1:12" ht="30" customHeight="1" x14ac:dyDescent="0.3">
      <c r="A169" s="4" t="str">
        <f t="shared" si="5"/>
        <v/>
      </c>
      <c r="B169" s="4" t="str">
        <f>IF(Table1345[[#This Row],[Product ID]]="","",VLOOKUP(Table1345[[#This Row],[Product ID]],data,2,FALSE))</f>
        <v/>
      </c>
      <c r="C169" s="4" t="str">
        <f>IF(Table1345[[#This Row],[Product ID]]="","",VLOOKUP(Table1345[[#This Row],[Product ID]],data,3,FALSE))</f>
        <v/>
      </c>
      <c r="D169" s="7" t="str">
        <f>IF(Table1345[[#This Row],[Product ID]]="","",VLOOKUP(Table1345[[#This Row],[Product ID]],data,4,FALSE))</f>
        <v/>
      </c>
      <c r="E169" s="7" t="str">
        <f>IF(Table1345[[#This Row],[Product ID]]="","",VLOOKUP(Table1345[[#This Row],[Product ID]],data,5,FALSE))</f>
        <v/>
      </c>
      <c r="F169" s="7" t="str">
        <f>IF(Table1345[[#This Row],[Product ID]]="","",SUMIFS(Stockin!F:F,Stockin!A:A,Table1345[[#This Row],[Product ID]]))</f>
        <v/>
      </c>
      <c r="G169" s="7" t="str">
        <f>IF(Table1345[[#This Row],[Product ID]]="","",SUMIFS(StockOut!G:G,StockOut!B:B,Table1345[[#This Row],[Product ID]]))</f>
        <v/>
      </c>
      <c r="H169" s="7" t="str">
        <f>IF(Table1345[[#This Row],[Product ID]]="","",SUM(Table1345[[#This Row],[Unit ]]-Table1345[[#This Row],[Selling Price]])*Table1345[[#This Row],[Transact Qty]])</f>
        <v/>
      </c>
      <c r="I169" s="10" t="str">
        <f>IF(Table1345[[#This Row],[Product ID]]="","",SUMIFS(Stockin!E:E,Stockin!A:A,Table1345[[#This Row],[Product ID]]))</f>
        <v/>
      </c>
      <c r="J169" s="10" t="str">
        <f>IF(Table1345[[#This Row],[Product ID]]="","",SUMIFS(StockOut!F:F,StockOut!B:B,Table1345[[#This Row],[Product ID]]))</f>
        <v/>
      </c>
      <c r="K169" s="10" t="str">
        <f>IF(A168="","",IF(Table1345[[#This Row],[StockonHand]]&lt;5, "Re-Order","Available"))</f>
        <v/>
      </c>
      <c r="L169" s="10" t="str">
        <f>IF(Table1345[[#This Row],[Product ID]]="","",PRODUCT(Table1345[[#This Row],[Beginning Stocks]]-Table1345[[#This Row],[Transact Qty]]))</f>
        <v/>
      </c>
    </row>
    <row r="170" spans="1:12" ht="30" customHeight="1" x14ac:dyDescent="0.3">
      <c r="A170" s="4" t="str">
        <f t="shared" si="5"/>
        <v/>
      </c>
      <c r="B170" s="4" t="str">
        <f>IF(Table1345[[#This Row],[Product ID]]="","",VLOOKUP(Table1345[[#This Row],[Product ID]],data,2,FALSE))</f>
        <v/>
      </c>
      <c r="C170" s="4" t="str">
        <f>IF(Table1345[[#This Row],[Product ID]]="","",VLOOKUP(Table1345[[#This Row],[Product ID]],data,3,FALSE))</f>
        <v/>
      </c>
      <c r="D170" s="7" t="str">
        <f>IF(Table1345[[#This Row],[Product ID]]="","",VLOOKUP(Table1345[[#This Row],[Product ID]],data,4,FALSE))</f>
        <v/>
      </c>
      <c r="E170" s="7" t="str">
        <f>IF(Table1345[[#This Row],[Product ID]]="","",VLOOKUP(Table1345[[#This Row],[Product ID]],data,5,FALSE))</f>
        <v/>
      </c>
      <c r="F170" s="7" t="str">
        <f>IF(Table1345[[#This Row],[Product ID]]="","",SUMIFS(Stockin!F:F,Stockin!A:A,Table1345[[#This Row],[Product ID]]))</f>
        <v/>
      </c>
      <c r="G170" s="7" t="str">
        <f>IF(Table1345[[#This Row],[Product ID]]="","",SUMIFS(StockOut!G:G,StockOut!B:B,Table1345[[#This Row],[Product ID]]))</f>
        <v/>
      </c>
      <c r="H170" s="7" t="str">
        <f>IF(Table1345[[#This Row],[Product ID]]="","",SUM(Table1345[[#This Row],[Unit ]]-Table1345[[#This Row],[Selling Price]])*Table1345[[#This Row],[Transact Qty]])</f>
        <v/>
      </c>
      <c r="I170" s="10" t="str">
        <f>IF(Table1345[[#This Row],[Product ID]]="","",SUMIFS(Stockin!E:E,Stockin!A:A,Table1345[[#This Row],[Product ID]]))</f>
        <v/>
      </c>
      <c r="J170" s="10" t="str">
        <f>IF(Table1345[[#This Row],[Product ID]]="","",SUMIFS(StockOut!F:F,StockOut!B:B,Table1345[[#This Row],[Product ID]]))</f>
        <v/>
      </c>
      <c r="K170" s="10" t="str">
        <f>IF(A169="","",IF(Table1345[[#This Row],[StockonHand]]&lt;5, "Re-Order","Available"))</f>
        <v/>
      </c>
      <c r="L170" s="10" t="str">
        <f>IF(Table1345[[#This Row],[Product ID]]="","",PRODUCT(Table1345[[#This Row],[Beginning Stocks]]-Table1345[[#This Row],[Transact Qty]]))</f>
        <v/>
      </c>
    </row>
    <row r="171" spans="1:12" ht="30" customHeight="1" x14ac:dyDescent="0.3">
      <c r="A171" s="4" t="str">
        <f t="shared" si="5"/>
        <v/>
      </c>
      <c r="B171" s="4" t="str">
        <f>IF(Table1345[[#This Row],[Product ID]]="","",VLOOKUP(Table1345[[#This Row],[Product ID]],data,2,FALSE))</f>
        <v/>
      </c>
      <c r="C171" s="4" t="str">
        <f>IF(Table1345[[#This Row],[Product ID]]="","",VLOOKUP(Table1345[[#This Row],[Product ID]],data,3,FALSE))</f>
        <v/>
      </c>
      <c r="D171" s="7" t="str">
        <f>IF(Table1345[[#This Row],[Product ID]]="","",VLOOKUP(Table1345[[#This Row],[Product ID]],data,4,FALSE))</f>
        <v/>
      </c>
      <c r="E171" s="7" t="str">
        <f>IF(Table1345[[#This Row],[Product ID]]="","",VLOOKUP(Table1345[[#This Row],[Product ID]],data,5,FALSE))</f>
        <v/>
      </c>
      <c r="F171" s="7" t="str">
        <f>IF(Table1345[[#This Row],[Product ID]]="","",SUMIFS(Stockin!F:F,Stockin!A:A,Table1345[[#This Row],[Product ID]]))</f>
        <v/>
      </c>
      <c r="G171" s="7" t="str">
        <f>IF(Table1345[[#This Row],[Product ID]]="","",SUMIFS(StockOut!G:G,StockOut!B:B,Table1345[[#This Row],[Product ID]]))</f>
        <v/>
      </c>
      <c r="H171" s="7" t="str">
        <f>IF(Table1345[[#This Row],[Product ID]]="","",SUM(Table1345[[#This Row],[Unit ]]-Table1345[[#This Row],[Selling Price]])*Table1345[[#This Row],[Transact Qty]])</f>
        <v/>
      </c>
      <c r="I171" s="10" t="str">
        <f>IF(Table1345[[#This Row],[Product ID]]="","",SUMIFS(Stockin!E:E,Stockin!A:A,Table1345[[#This Row],[Product ID]]))</f>
        <v/>
      </c>
      <c r="J171" s="10" t="str">
        <f>IF(Table1345[[#This Row],[Product ID]]="","",SUMIFS(StockOut!F:F,StockOut!B:B,Table1345[[#This Row],[Product ID]]))</f>
        <v/>
      </c>
      <c r="K171" s="10" t="str">
        <f>IF(A170="","",IF(Table1345[[#This Row],[StockonHand]]&lt;5, "Re-Order","Available"))</f>
        <v/>
      </c>
      <c r="L171" s="10" t="str">
        <f>IF(Table1345[[#This Row],[Product ID]]="","",PRODUCT(Table1345[[#This Row],[Beginning Stocks]]-Table1345[[#This Row],[Transact Qty]]))</f>
        <v/>
      </c>
    </row>
    <row r="172" spans="1:12" ht="30" customHeight="1" x14ac:dyDescent="0.3">
      <c r="A172" s="4" t="str">
        <f t="shared" si="5"/>
        <v/>
      </c>
      <c r="B172" s="4" t="str">
        <f>IF(Table1345[[#This Row],[Product ID]]="","",VLOOKUP(Table1345[[#This Row],[Product ID]],data,2,FALSE))</f>
        <v/>
      </c>
      <c r="C172" s="4" t="str">
        <f>IF(Table1345[[#This Row],[Product ID]]="","",VLOOKUP(Table1345[[#This Row],[Product ID]],data,3,FALSE))</f>
        <v/>
      </c>
      <c r="D172" s="7" t="str">
        <f>IF(Table1345[[#This Row],[Product ID]]="","",VLOOKUP(Table1345[[#This Row],[Product ID]],data,4,FALSE))</f>
        <v/>
      </c>
      <c r="E172" s="7" t="str">
        <f>IF(Table1345[[#This Row],[Product ID]]="","",VLOOKUP(Table1345[[#This Row],[Product ID]],data,5,FALSE))</f>
        <v/>
      </c>
      <c r="F172" s="7" t="str">
        <f>IF(Table1345[[#This Row],[Product ID]]="","",SUMIFS(Stockin!F:F,Stockin!A:A,Table1345[[#This Row],[Product ID]]))</f>
        <v/>
      </c>
      <c r="G172" s="7" t="str">
        <f>IF(Table1345[[#This Row],[Product ID]]="","",SUMIFS(StockOut!G:G,StockOut!B:B,Table1345[[#This Row],[Product ID]]))</f>
        <v/>
      </c>
      <c r="H172" s="7" t="str">
        <f>IF(Table1345[[#This Row],[Product ID]]="","",SUM(Table1345[[#This Row],[Unit ]]-Table1345[[#This Row],[Selling Price]])*Table1345[[#This Row],[Transact Qty]])</f>
        <v/>
      </c>
      <c r="I172" s="10" t="str">
        <f>IF(Table1345[[#This Row],[Product ID]]="","",SUMIFS(Stockin!E:E,Stockin!A:A,Table1345[[#This Row],[Product ID]]))</f>
        <v/>
      </c>
      <c r="J172" s="10" t="str">
        <f>IF(Table1345[[#This Row],[Product ID]]="","",SUMIFS(StockOut!F:F,StockOut!B:B,Table1345[[#This Row],[Product ID]]))</f>
        <v/>
      </c>
      <c r="K172" s="10" t="str">
        <f>IF(A171="","",IF(Table1345[[#This Row],[StockonHand]]&lt;5, "Re-Order","Available"))</f>
        <v/>
      </c>
      <c r="L172" s="10" t="str">
        <f>IF(Table1345[[#This Row],[Product ID]]="","",PRODUCT(Table1345[[#This Row],[Beginning Stocks]]-Table1345[[#This Row],[Transact Qty]]))</f>
        <v/>
      </c>
    </row>
    <row r="173" spans="1:12" ht="30" customHeight="1" x14ac:dyDescent="0.3">
      <c r="A173" s="4" t="str">
        <f t="shared" si="5"/>
        <v/>
      </c>
      <c r="B173" s="4" t="str">
        <f>IF(Table1345[[#This Row],[Product ID]]="","",VLOOKUP(Table1345[[#This Row],[Product ID]],data,2,FALSE))</f>
        <v/>
      </c>
      <c r="C173" s="4" t="str">
        <f>IF(Table1345[[#This Row],[Product ID]]="","",VLOOKUP(Table1345[[#This Row],[Product ID]],data,3,FALSE))</f>
        <v/>
      </c>
      <c r="D173" s="7" t="str">
        <f>IF(Table1345[[#This Row],[Product ID]]="","",VLOOKUP(Table1345[[#This Row],[Product ID]],data,4,FALSE))</f>
        <v/>
      </c>
      <c r="E173" s="7" t="str">
        <f>IF(Table1345[[#This Row],[Product ID]]="","",VLOOKUP(Table1345[[#This Row],[Product ID]],data,5,FALSE))</f>
        <v/>
      </c>
      <c r="F173" s="7" t="str">
        <f>IF(Table1345[[#This Row],[Product ID]]="","",SUMIFS(Stockin!F:F,Stockin!A:A,Table1345[[#This Row],[Product ID]]))</f>
        <v/>
      </c>
      <c r="G173" s="7" t="str">
        <f>IF(Table1345[[#This Row],[Product ID]]="","",SUMIFS(StockOut!G:G,StockOut!B:B,Table1345[[#This Row],[Product ID]]))</f>
        <v/>
      </c>
      <c r="H173" s="7" t="str">
        <f>IF(Table1345[[#This Row],[Product ID]]="","",SUM(Table1345[[#This Row],[Unit ]]-Table1345[[#This Row],[Selling Price]])*Table1345[[#This Row],[Transact Qty]])</f>
        <v/>
      </c>
      <c r="I173" s="10" t="str">
        <f>IF(Table1345[[#This Row],[Product ID]]="","",SUMIFS(Stockin!E:E,Stockin!A:A,Table1345[[#This Row],[Product ID]]))</f>
        <v/>
      </c>
      <c r="J173" s="10" t="str">
        <f>IF(Table1345[[#This Row],[Product ID]]="","",SUMIFS(StockOut!F:F,StockOut!B:B,Table1345[[#This Row],[Product ID]]))</f>
        <v/>
      </c>
      <c r="K173" s="10" t="str">
        <f>IF(A172="","",IF(Table1345[[#This Row],[StockonHand]]&lt;5, "Re-Order","Available"))</f>
        <v/>
      </c>
      <c r="L173" s="10" t="str">
        <f>IF(Table1345[[#This Row],[Product ID]]="","",PRODUCT(Table1345[[#This Row],[Beginning Stocks]]-Table1345[[#This Row],[Transact Qty]]))</f>
        <v/>
      </c>
    </row>
    <row r="174" spans="1:12" ht="30" customHeight="1" x14ac:dyDescent="0.3">
      <c r="A174" s="4" t="str">
        <f t="shared" si="5"/>
        <v/>
      </c>
      <c r="B174" s="4" t="str">
        <f>IF(Table1345[[#This Row],[Product ID]]="","",VLOOKUP(Table1345[[#This Row],[Product ID]],data,2,FALSE))</f>
        <v/>
      </c>
      <c r="C174" s="4" t="str">
        <f>IF(Table1345[[#This Row],[Product ID]]="","",VLOOKUP(Table1345[[#This Row],[Product ID]],data,3,FALSE))</f>
        <v/>
      </c>
      <c r="D174" s="7" t="str">
        <f>IF(Table1345[[#This Row],[Product ID]]="","",VLOOKUP(Table1345[[#This Row],[Product ID]],data,4,FALSE))</f>
        <v/>
      </c>
      <c r="E174" s="7" t="str">
        <f>IF(Table1345[[#This Row],[Product ID]]="","",VLOOKUP(Table1345[[#This Row],[Product ID]],data,5,FALSE))</f>
        <v/>
      </c>
      <c r="F174" s="7" t="str">
        <f>IF(Table1345[[#This Row],[Product ID]]="","",SUMIFS(Stockin!F:F,Stockin!A:A,Table1345[[#This Row],[Product ID]]))</f>
        <v/>
      </c>
      <c r="G174" s="7" t="str">
        <f>IF(Table1345[[#This Row],[Product ID]]="","",SUMIFS(StockOut!G:G,StockOut!B:B,Table1345[[#This Row],[Product ID]]))</f>
        <v/>
      </c>
      <c r="H174" s="7" t="str">
        <f>IF(Table1345[[#This Row],[Product ID]]="","",SUM(Table1345[[#This Row],[Unit ]]-Table1345[[#This Row],[Selling Price]])*Table1345[[#This Row],[Transact Qty]])</f>
        <v/>
      </c>
      <c r="I174" s="10" t="str">
        <f>IF(Table1345[[#This Row],[Product ID]]="","",SUMIFS(Stockin!E:E,Stockin!A:A,Table1345[[#This Row],[Product ID]]))</f>
        <v/>
      </c>
      <c r="J174" s="10" t="str">
        <f>IF(Table1345[[#This Row],[Product ID]]="","",SUMIFS(StockOut!F:F,StockOut!B:B,Table1345[[#This Row],[Product ID]]))</f>
        <v/>
      </c>
      <c r="K174" s="10" t="str">
        <f>IF(A173="","",IF(Table1345[[#This Row],[StockonHand]]&lt;5, "Re-Order","Available"))</f>
        <v/>
      </c>
      <c r="L174" s="10" t="str">
        <f>IF(Table1345[[#This Row],[Product ID]]="","",PRODUCT(Table1345[[#This Row],[Beginning Stocks]]-Table1345[[#This Row],[Transact Qty]]))</f>
        <v/>
      </c>
    </row>
    <row r="175" spans="1:12" ht="30" customHeight="1" x14ac:dyDescent="0.3">
      <c r="A175" s="4" t="str">
        <f t="shared" si="5"/>
        <v/>
      </c>
      <c r="B175" s="4" t="str">
        <f>IF(Table1345[[#This Row],[Product ID]]="","",VLOOKUP(Table1345[[#This Row],[Product ID]],data,2,FALSE))</f>
        <v/>
      </c>
      <c r="C175" s="4" t="str">
        <f>IF(Table1345[[#This Row],[Product ID]]="","",VLOOKUP(Table1345[[#This Row],[Product ID]],data,3,FALSE))</f>
        <v/>
      </c>
      <c r="D175" s="7" t="str">
        <f>IF(Table1345[[#This Row],[Product ID]]="","",VLOOKUP(Table1345[[#This Row],[Product ID]],data,4,FALSE))</f>
        <v/>
      </c>
      <c r="E175" s="7" t="str">
        <f>IF(Table1345[[#This Row],[Product ID]]="","",VLOOKUP(Table1345[[#This Row],[Product ID]],data,5,FALSE))</f>
        <v/>
      </c>
      <c r="F175" s="7" t="str">
        <f>IF(Table1345[[#This Row],[Product ID]]="","",SUMIFS(Stockin!F:F,Stockin!A:A,Table1345[[#This Row],[Product ID]]))</f>
        <v/>
      </c>
      <c r="G175" s="7" t="str">
        <f>IF(Table1345[[#This Row],[Product ID]]="","",SUMIFS(StockOut!G:G,StockOut!B:B,Table1345[[#This Row],[Product ID]]))</f>
        <v/>
      </c>
      <c r="H175" s="7" t="str">
        <f>IF(Table1345[[#This Row],[Product ID]]="","",SUM(Table1345[[#This Row],[Unit ]]-Table1345[[#This Row],[Selling Price]])*Table1345[[#This Row],[Transact Qty]])</f>
        <v/>
      </c>
      <c r="I175" s="10" t="str">
        <f>IF(Table1345[[#This Row],[Product ID]]="","",SUMIFS(Stockin!E:E,Stockin!A:A,Table1345[[#This Row],[Product ID]]))</f>
        <v/>
      </c>
      <c r="J175" s="10" t="str">
        <f>IF(Table1345[[#This Row],[Product ID]]="","",SUMIFS(StockOut!F:F,StockOut!B:B,Table1345[[#This Row],[Product ID]]))</f>
        <v/>
      </c>
      <c r="K175" s="10" t="str">
        <f>IF(A174="","",IF(Table1345[[#This Row],[StockonHand]]&lt;5, "Re-Order","Available"))</f>
        <v/>
      </c>
      <c r="L175" s="10" t="str">
        <f>IF(Table1345[[#This Row],[Product ID]]="","",PRODUCT(Table1345[[#This Row],[Beginning Stocks]]-Table1345[[#This Row],[Transact Qty]]))</f>
        <v/>
      </c>
    </row>
    <row r="176" spans="1:12" ht="30" customHeight="1" x14ac:dyDescent="0.3">
      <c r="A176" s="4" t="str">
        <f t="shared" si="5"/>
        <v/>
      </c>
      <c r="B176" s="4" t="str">
        <f>IF(Table1345[[#This Row],[Product ID]]="","",VLOOKUP(Table1345[[#This Row],[Product ID]],data,2,FALSE))</f>
        <v/>
      </c>
      <c r="C176" s="4" t="str">
        <f>IF(Table1345[[#This Row],[Product ID]]="","",VLOOKUP(Table1345[[#This Row],[Product ID]],data,3,FALSE))</f>
        <v/>
      </c>
      <c r="D176" s="7" t="str">
        <f>IF(Table1345[[#This Row],[Product ID]]="","",VLOOKUP(Table1345[[#This Row],[Product ID]],data,4,FALSE))</f>
        <v/>
      </c>
      <c r="E176" s="7" t="str">
        <f>IF(Table1345[[#This Row],[Product ID]]="","",VLOOKUP(Table1345[[#This Row],[Product ID]],data,5,FALSE))</f>
        <v/>
      </c>
      <c r="F176" s="7" t="str">
        <f>IF(Table1345[[#This Row],[Product ID]]="","",SUMIFS(Stockin!F:F,Stockin!A:A,Table1345[[#This Row],[Product ID]]))</f>
        <v/>
      </c>
      <c r="G176" s="7" t="str">
        <f>IF(Table1345[[#This Row],[Product ID]]="","",SUMIFS(StockOut!G:G,StockOut!B:B,Table1345[[#This Row],[Product ID]]))</f>
        <v/>
      </c>
      <c r="H176" s="7" t="str">
        <f>IF(Table1345[[#This Row],[Product ID]]="","",SUM(Table1345[[#This Row],[Unit ]]-Table1345[[#This Row],[Selling Price]])*Table1345[[#This Row],[Transact Qty]])</f>
        <v/>
      </c>
      <c r="I176" s="10" t="str">
        <f>IF(Table1345[[#This Row],[Product ID]]="","",SUMIFS(Stockin!E:E,Stockin!A:A,Table1345[[#This Row],[Product ID]]))</f>
        <v/>
      </c>
      <c r="J176" s="10" t="str">
        <f>IF(Table1345[[#This Row],[Product ID]]="","",SUMIFS(StockOut!F:F,StockOut!B:B,Table1345[[#This Row],[Product ID]]))</f>
        <v/>
      </c>
      <c r="K176" s="10" t="str">
        <f>IF(A175="","",IF(Table1345[[#This Row],[StockonHand]]&lt;5, "Re-Order","Available"))</f>
        <v/>
      </c>
      <c r="L176" s="10" t="str">
        <f>IF(Table1345[[#This Row],[Product ID]]="","",PRODUCT(Table1345[[#This Row],[Beginning Stocks]]-Table1345[[#This Row],[Transact Qty]]))</f>
        <v/>
      </c>
    </row>
    <row r="177" spans="1:12" ht="30" customHeight="1" x14ac:dyDescent="0.3">
      <c r="A177" s="4" t="str">
        <f t="shared" si="5"/>
        <v/>
      </c>
      <c r="B177" s="4" t="str">
        <f>IF(Table1345[[#This Row],[Product ID]]="","",VLOOKUP(Table1345[[#This Row],[Product ID]],data,2,FALSE))</f>
        <v/>
      </c>
      <c r="C177" s="4" t="str">
        <f>IF(Table1345[[#This Row],[Product ID]]="","",VLOOKUP(Table1345[[#This Row],[Product ID]],data,3,FALSE))</f>
        <v/>
      </c>
      <c r="D177" s="7" t="str">
        <f>IF(Table1345[[#This Row],[Product ID]]="","",VLOOKUP(Table1345[[#This Row],[Product ID]],data,4,FALSE))</f>
        <v/>
      </c>
      <c r="E177" s="7" t="str">
        <f>IF(Table1345[[#This Row],[Product ID]]="","",VLOOKUP(Table1345[[#This Row],[Product ID]],data,5,FALSE))</f>
        <v/>
      </c>
      <c r="F177" s="7" t="str">
        <f>IF(Table1345[[#This Row],[Product ID]]="","",SUMIFS(Stockin!F:F,Stockin!A:A,Table1345[[#This Row],[Product ID]]))</f>
        <v/>
      </c>
      <c r="G177" s="7" t="str">
        <f>IF(Table1345[[#This Row],[Product ID]]="","",SUMIFS(StockOut!G:G,StockOut!B:B,Table1345[[#This Row],[Product ID]]))</f>
        <v/>
      </c>
      <c r="H177" s="7" t="str">
        <f>IF(Table1345[[#This Row],[Product ID]]="","",SUM(Table1345[[#This Row],[Unit ]]-Table1345[[#This Row],[Selling Price]])*Table1345[[#This Row],[Transact Qty]])</f>
        <v/>
      </c>
      <c r="I177" s="10" t="str">
        <f>IF(Table1345[[#This Row],[Product ID]]="","",SUMIFS(Stockin!E:E,Stockin!A:A,Table1345[[#This Row],[Product ID]]))</f>
        <v/>
      </c>
      <c r="J177" s="10" t="str">
        <f>IF(Table1345[[#This Row],[Product ID]]="","",SUMIFS(StockOut!F:F,StockOut!B:B,Table1345[[#This Row],[Product ID]]))</f>
        <v/>
      </c>
      <c r="K177" s="10" t="str">
        <f>IF(A176="","",IF(Table1345[[#This Row],[StockonHand]]&lt;5, "Re-Order","Available"))</f>
        <v/>
      </c>
      <c r="L177" s="10" t="str">
        <f>IF(Table1345[[#This Row],[Product ID]]="","",PRODUCT(Table1345[[#This Row],[Beginning Stocks]]-Table1345[[#This Row],[Transact Qty]]))</f>
        <v/>
      </c>
    </row>
    <row r="178" spans="1:12" ht="30" customHeight="1" x14ac:dyDescent="0.3">
      <c r="A178" s="4" t="str">
        <f t="shared" si="5"/>
        <v/>
      </c>
      <c r="B178" s="4" t="str">
        <f>IF(Table1345[[#This Row],[Product ID]]="","",VLOOKUP(Table1345[[#This Row],[Product ID]],data,2,FALSE))</f>
        <v/>
      </c>
      <c r="C178" s="4" t="str">
        <f>IF(Table1345[[#This Row],[Product ID]]="","",VLOOKUP(Table1345[[#This Row],[Product ID]],data,3,FALSE))</f>
        <v/>
      </c>
      <c r="D178" s="7" t="str">
        <f>IF(Table1345[[#This Row],[Product ID]]="","",VLOOKUP(Table1345[[#This Row],[Product ID]],data,4,FALSE))</f>
        <v/>
      </c>
      <c r="E178" s="7" t="str">
        <f>IF(Table1345[[#This Row],[Product ID]]="","",VLOOKUP(Table1345[[#This Row],[Product ID]],data,5,FALSE))</f>
        <v/>
      </c>
      <c r="F178" s="7" t="str">
        <f>IF(Table1345[[#This Row],[Product ID]]="","",SUMIFS(Stockin!F:F,Stockin!A:A,Table1345[[#This Row],[Product ID]]))</f>
        <v/>
      </c>
      <c r="G178" s="7" t="str">
        <f>IF(Table1345[[#This Row],[Product ID]]="","",SUMIFS(StockOut!G:G,StockOut!B:B,Table1345[[#This Row],[Product ID]]))</f>
        <v/>
      </c>
      <c r="H178" s="7" t="str">
        <f>IF(Table1345[[#This Row],[Product ID]]="","",SUM(Table1345[[#This Row],[Unit ]]-Table1345[[#This Row],[Selling Price]])*Table1345[[#This Row],[Transact Qty]])</f>
        <v/>
      </c>
      <c r="I178" s="10" t="str">
        <f>IF(Table1345[[#This Row],[Product ID]]="","",SUMIFS(Stockin!E:E,Stockin!A:A,Table1345[[#This Row],[Product ID]]))</f>
        <v/>
      </c>
      <c r="J178" s="10" t="str">
        <f>IF(Table1345[[#This Row],[Product ID]]="","",SUMIFS(StockOut!F:F,StockOut!B:B,Table1345[[#This Row],[Product ID]]))</f>
        <v/>
      </c>
      <c r="K178" s="10" t="str">
        <f>IF(A177="","",IF(Table1345[[#This Row],[StockonHand]]&lt;5, "Re-Order","Available"))</f>
        <v/>
      </c>
      <c r="L178" s="10" t="str">
        <f>IF(Table1345[[#This Row],[Product ID]]="","",PRODUCT(Table1345[[#This Row],[Beginning Stocks]]-Table1345[[#This Row],[Transact Qty]]))</f>
        <v/>
      </c>
    </row>
    <row r="179" spans="1:12" ht="30" customHeight="1" x14ac:dyDescent="0.3">
      <c r="A179" s="4" t="str">
        <f t="shared" si="5"/>
        <v/>
      </c>
      <c r="B179" s="4" t="str">
        <f>IF(Table1345[[#This Row],[Product ID]]="","",VLOOKUP(Table1345[[#This Row],[Product ID]],data,2,FALSE))</f>
        <v/>
      </c>
      <c r="C179" s="4" t="str">
        <f>IF(Table1345[[#This Row],[Product ID]]="","",VLOOKUP(Table1345[[#This Row],[Product ID]],data,3,FALSE))</f>
        <v/>
      </c>
      <c r="D179" s="7" t="str">
        <f>IF(Table1345[[#This Row],[Product ID]]="","",VLOOKUP(Table1345[[#This Row],[Product ID]],data,4,FALSE))</f>
        <v/>
      </c>
      <c r="E179" s="7" t="str">
        <f>IF(Table1345[[#This Row],[Product ID]]="","",VLOOKUP(Table1345[[#This Row],[Product ID]],data,5,FALSE))</f>
        <v/>
      </c>
      <c r="F179" s="7" t="str">
        <f>IF(Table1345[[#This Row],[Product ID]]="","",SUMIFS(Stockin!F:F,Stockin!A:A,Table1345[[#This Row],[Product ID]]))</f>
        <v/>
      </c>
      <c r="G179" s="7" t="str">
        <f>IF(Table1345[[#This Row],[Product ID]]="","",SUMIFS(StockOut!G:G,StockOut!B:B,Table1345[[#This Row],[Product ID]]))</f>
        <v/>
      </c>
      <c r="H179" s="7" t="str">
        <f>IF(Table1345[[#This Row],[Product ID]]="","",SUM(Table1345[[#This Row],[Unit ]]-Table1345[[#This Row],[Selling Price]])*Table1345[[#This Row],[Transact Qty]])</f>
        <v/>
      </c>
      <c r="I179" s="10" t="str">
        <f>IF(Table1345[[#This Row],[Product ID]]="","",SUMIFS(Stockin!E:E,Stockin!A:A,Table1345[[#This Row],[Product ID]]))</f>
        <v/>
      </c>
      <c r="J179" s="10" t="str">
        <f>IF(Table1345[[#This Row],[Product ID]]="","",SUMIFS(StockOut!F:F,StockOut!B:B,Table1345[[#This Row],[Product ID]]))</f>
        <v/>
      </c>
      <c r="K179" s="10" t="str">
        <f>IF(A178="","",IF(Table1345[[#This Row],[StockonHand]]&lt;5, "Re-Order","Available"))</f>
        <v/>
      </c>
      <c r="L179" s="10" t="str">
        <f>IF(Table1345[[#This Row],[Product ID]]="","",PRODUCT(Table1345[[#This Row],[Beginning Stocks]]-Table1345[[#This Row],[Transact Qty]]))</f>
        <v/>
      </c>
    </row>
    <row r="180" spans="1:12" ht="30" customHeight="1" x14ac:dyDescent="0.3">
      <c r="A180" s="4" t="str">
        <f t="shared" si="5"/>
        <v/>
      </c>
      <c r="B180" s="4" t="str">
        <f>IF(Table1345[[#This Row],[Product ID]]="","",VLOOKUP(Table1345[[#This Row],[Product ID]],data,2,FALSE))</f>
        <v/>
      </c>
      <c r="C180" s="4" t="str">
        <f>IF(Table1345[[#This Row],[Product ID]]="","",VLOOKUP(Table1345[[#This Row],[Product ID]],data,3,FALSE))</f>
        <v/>
      </c>
      <c r="D180" s="7" t="str">
        <f>IF(Table1345[[#This Row],[Product ID]]="","",VLOOKUP(Table1345[[#This Row],[Product ID]],data,4,FALSE))</f>
        <v/>
      </c>
      <c r="E180" s="7" t="str">
        <f>IF(Table1345[[#This Row],[Product ID]]="","",VLOOKUP(Table1345[[#This Row],[Product ID]],data,5,FALSE))</f>
        <v/>
      </c>
      <c r="F180" s="7" t="str">
        <f>IF(Table1345[[#This Row],[Product ID]]="","",SUMIFS(Stockin!F:F,Stockin!A:A,Table1345[[#This Row],[Product ID]]))</f>
        <v/>
      </c>
      <c r="G180" s="7" t="str">
        <f>IF(Table1345[[#This Row],[Product ID]]="","",SUMIFS(StockOut!G:G,StockOut!B:B,Table1345[[#This Row],[Product ID]]))</f>
        <v/>
      </c>
      <c r="H180" s="7" t="str">
        <f>IF(Table1345[[#This Row],[Product ID]]="","",SUM(Table1345[[#This Row],[Unit ]]-Table1345[[#This Row],[Selling Price]])*Table1345[[#This Row],[Transact Qty]])</f>
        <v/>
      </c>
      <c r="I180" s="10" t="str">
        <f>IF(Table1345[[#This Row],[Product ID]]="","",SUMIFS(Stockin!E:E,Stockin!A:A,Table1345[[#This Row],[Product ID]]))</f>
        <v/>
      </c>
      <c r="J180" s="10" t="str">
        <f>IF(Table1345[[#This Row],[Product ID]]="","",SUMIFS(StockOut!F:F,StockOut!B:B,Table1345[[#This Row],[Product ID]]))</f>
        <v/>
      </c>
      <c r="K180" s="10" t="str">
        <f>IF(A179="","",IF(Table1345[[#This Row],[StockonHand]]&lt;5, "Re-Order","Available"))</f>
        <v/>
      </c>
      <c r="L180" s="10" t="str">
        <f>IF(Table1345[[#This Row],[Product ID]]="","",PRODUCT(Table1345[[#This Row],[Beginning Stocks]]-Table1345[[#This Row],[Transact Qty]]))</f>
        <v/>
      </c>
    </row>
    <row r="181" spans="1:12" ht="30" customHeight="1" x14ac:dyDescent="0.3">
      <c r="A181" s="4" t="str">
        <f t="shared" si="5"/>
        <v/>
      </c>
      <c r="B181" s="4" t="str">
        <f>IF(Table1345[[#This Row],[Product ID]]="","",VLOOKUP(Table1345[[#This Row],[Product ID]],data,2,FALSE))</f>
        <v/>
      </c>
      <c r="C181" s="4" t="str">
        <f>IF(Table1345[[#This Row],[Product ID]]="","",VLOOKUP(Table1345[[#This Row],[Product ID]],data,3,FALSE))</f>
        <v/>
      </c>
      <c r="D181" s="7" t="str">
        <f>IF(Table1345[[#This Row],[Product ID]]="","",VLOOKUP(Table1345[[#This Row],[Product ID]],data,4,FALSE))</f>
        <v/>
      </c>
      <c r="E181" s="7" t="str">
        <f>IF(Table1345[[#This Row],[Product ID]]="","",VLOOKUP(Table1345[[#This Row],[Product ID]],data,5,FALSE))</f>
        <v/>
      </c>
      <c r="F181" s="7" t="str">
        <f>IF(Table1345[[#This Row],[Product ID]]="","",SUMIFS(Stockin!F:F,Stockin!A:A,Table1345[[#This Row],[Product ID]]))</f>
        <v/>
      </c>
      <c r="G181" s="7" t="str">
        <f>IF(Table1345[[#This Row],[Product ID]]="","",SUMIFS(StockOut!G:G,StockOut!B:B,Table1345[[#This Row],[Product ID]]))</f>
        <v/>
      </c>
      <c r="H181" s="7" t="str">
        <f>IF(Table1345[[#This Row],[Product ID]]="","",SUM(Table1345[[#This Row],[Unit ]]-Table1345[[#This Row],[Selling Price]])*Table1345[[#This Row],[Transact Qty]])</f>
        <v/>
      </c>
      <c r="I181" s="10" t="str">
        <f>IF(Table1345[[#This Row],[Product ID]]="","",SUMIFS(Stockin!E:E,Stockin!A:A,Table1345[[#This Row],[Product ID]]))</f>
        <v/>
      </c>
      <c r="J181" s="10" t="str">
        <f>IF(Table1345[[#This Row],[Product ID]]="","",SUMIFS(StockOut!F:F,StockOut!B:B,Table1345[[#This Row],[Product ID]]))</f>
        <v/>
      </c>
      <c r="K181" s="10" t="str">
        <f>IF(A180="","",IF(Table1345[[#This Row],[StockonHand]]&lt;5, "Re-Order","Available"))</f>
        <v/>
      </c>
      <c r="L181" s="10" t="str">
        <f>IF(Table1345[[#This Row],[Product ID]]="","",PRODUCT(Table1345[[#This Row],[Beginning Stocks]]-Table1345[[#This Row],[Transact Qty]]))</f>
        <v/>
      </c>
    </row>
    <row r="182" spans="1:12" ht="30" customHeight="1" x14ac:dyDescent="0.3">
      <c r="A182" s="4" t="str">
        <f t="shared" si="5"/>
        <v/>
      </c>
      <c r="B182" s="4" t="str">
        <f>IF(Table1345[[#This Row],[Product ID]]="","",VLOOKUP(Table1345[[#This Row],[Product ID]],data,2,FALSE))</f>
        <v/>
      </c>
      <c r="C182" s="4" t="str">
        <f>IF(Table1345[[#This Row],[Product ID]]="","",VLOOKUP(Table1345[[#This Row],[Product ID]],data,3,FALSE))</f>
        <v/>
      </c>
      <c r="D182" s="7" t="str">
        <f>IF(Table1345[[#This Row],[Product ID]]="","",VLOOKUP(Table1345[[#This Row],[Product ID]],data,4,FALSE))</f>
        <v/>
      </c>
      <c r="E182" s="7" t="str">
        <f>IF(Table1345[[#This Row],[Product ID]]="","",VLOOKUP(Table1345[[#This Row],[Product ID]],data,5,FALSE))</f>
        <v/>
      </c>
      <c r="F182" s="7" t="str">
        <f>IF(Table1345[[#This Row],[Product ID]]="","",SUMIFS(Stockin!F:F,Stockin!A:A,Table1345[[#This Row],[Product ID]]))</f>
        <v/>
      </c>
      <c r="G182" s="7" t="str">
        <f>IF(Table1345[[#This Row],[Product ID]]="","",SUMIFS(StockOut!G:G,StockOut!B:B,Table1345[[#This Row],[Product ID]]))</f>
        <v/>
      </c>
      <c r="H182" s="7" t="str">
        <f>IF(Table1345[[#This Row],[Product ID]]="","",SUM(Table1345[[#This Row],[Unit ]]-Table1345[[#This Row],[Selling Price]])*Table1345[[#This Row],[Transact Qty]])</f>
        <v/>
      </c>
      <c r="I182" s="10" t="str">
        <f>IF(Table1345[[#This Row],[Product ID]]="","",SUMIFS(Stockin!E:E,Stockin!A:A,Table1345[[#This Row],[Product ID]]))</f>
        <v/>
      </c>
      <c r="J182" s="10" t="str">
        <f>IF(Table1345[[#This Row],[Product ID]]="","",SUMIFS(StockOut!F:F,StockOut!B:B,Table1345[[#This Row],[Product ID]]))</f>
        <v/>
      </c>
      <c r="K182" s="10" t="str">
        <f>IF(A181="","",IF(Table1345[[#This Row],[StockonHand]]&lt;5, "Re-Order","Available"))</f>
        <v/>
      </c>
      <c r="L182" s="10" t="str">
        <f>IF(Table1345[[#This Row],[Product ID]]="","",PRODUCT(Table1345[[#This Row],[Beginning Stocks]]-Table1345[[#This Row],[Transact Qty]]))</f>
        <v/>
      </c>
    </row>
    <row r="183" spans="1:12" ht="30" customHeight="1" x14ac:dyDescent="0.3">
      <c r="A183" s="4" t="str">
        <f t="shared" si="5"/>
        <v/>
      </c>
      <c r="B183" s="4" t="str">
        <f>IF(Table1345[[#This Row],[Product ID]]="","",VLOOKUP(Table1345[[#This Row],[Product ID]],data,2,FALSE))</f>
        <v/>
      </c>
      <c r="C183" s="4" t="str">
        <f>IF(Table1345[[#This Row],[Product ID]]="","",VLOOKUP(Table1345[[#This Row],[Product ID]],data,3,FALSE))</f>
        <v/>
      </c>
      <c r="D183" s="7" t="str">
        <f>IF(Table1345[[#This Row],[Product ID]]="","",VLOOKUP(Table1345[[#This Row],[Product ID]],data,4,FALSE))</f>
        <v/>
      </c>
      <c r="E183" s="7" t="str">
        <f>IF(Table1345[[#This Row],[Product ID]]="","",VLOOKUP(Table1345[[#This Row],[Product ID]],data,5,FALSE))</f>
        <v/>
      </c>
      <c r="F183" s="7" t="str">
        <f>IF(Table1345[[#This Row],[Product ID]]="","",SUMIFS(Stockin!F:F,Stockin!A:A,Table1345[[#This Row],[Product ID]]))</f>
        <v/>
      </c>
      <c r="G183" s="7" t="str">
        <f>IF(Table1345[[#This Row],[Product ID]]="","",SUMIFS(StockOut!G:G,StockOut!B:B,Table1345[[#This Row],[Product ID]]))</f>
        <v/>
      </c>
      <c r="H183" s="7" t="str">
        <f>IF(Table1345[[#This Row],[Product ID]]="","",SUM(Table1345[[#This Row],[Unit ]]-Table1345[[#This Row],[Selling Price]])*Table1345[[#This Row],[Transact Qty]])</f>
        <v/>
      </c>
      <c r="I183" s="10" t="str">
        <f>IF(Table1345[[#This Row],[Product ID]]="","",SUMIFS(Stockin!E:E,Stockin!A:A,Table1345[[#This Row],[Product ID]]))</f>
        <v/>
      </c>
      <c r="J183" s="10" t="str">
        <f>IF(Table1345[[#This Row],[Product ID]]="","",SUMIFS(StockOut!F:F,StockOut!B:B,Table1345[[#This Row],[Product ID]]))</f>
        <v/>
      </c>
      <c r="K183" s="10" t="str">
        <f>IF(A182="","",IF(Table1345[[#This Row],[StockonHand]]&lt;5, "Re-Order","Available"))</f>
        <v/>
      </c>
      <c r="L183" s="10" t="str">
        <f>IF(Table1345[[#This Row],[Product ID]]="","",PRODUCT(Table1345[[#This Row],[Beginning Stocks]]-Table1345[[#This Row],[Transact Qty]]))</f>
        <v/>
      </c>
    </row>
    <row r="184" spans="1:12" ht="30" customHeight="1" x14ac:dyDescent="0.3">
      <c r="A184" s="4" t="str">
        <f t="shared" si="5"/>
        <v/>
      </c>
      <c r="B184" s="4" t="str">
        <f>IF(Table1345[[#This Row],[Product ID]]="","",VLOOKUP(Table1345[[#This Row],[Product ID]],data,2,FALSE))</f>
        <v/>
      </c>
      <c r="C184" s="4" t="str">
        <f>IF(Table1345[[#This Row],[Product ID]]="","",VLOOKUP(Table1345[[#This Row],[Product ID]],data,3,FALSE))</f>
        <v/>
      </c>
      <c r="D184" s="7" t="str">
        <f>IF(Table1345[[#This Row],[Product ID]]="","",VLOOKUP(Table1345[[#This Row],[Product ID]],data,4,FALSE))</f>
        <v/>
      </c>
      <c r="E184" s="7" t="str">
        <f>IF(Table1345[[#This Row],[Product ID]]="","",VLOOKUP(Table1345[[#This Row],[Product ID]],data,5,FALSE))</f>
        <v/>
      </c>
      <c r="F184" s="7" t="str">
        <f>IF(Table1345[[#This Row],[Product ID]]="","",SUMIFS(Stockin!F:F,Stockin!A:A,Table1345[[#This Row],[Product ID]]))</f>
        <v/>
      </c>
      <c r="G184" s="7" t="str">
        <f>IF(Table1345[[#This Row],[Product ID]]="","",SUMIFS(StockOut!G:G,StockOut!B:B,Table1345[[#This Row],[Product ID]]))</f>
        <v/>
      </c>
      <c r="H184" s="7" t="str">
        <f>IF(Table1345[[#This Row],[Product ID]]="","",SUM(Table1345[[#This Row],[Unit ]]-Table1345[[#This Row],[Selling Price]])*Table1345[[#This Row],[Transact Qty]])</f>
        <v/>
      </c>
      <c r="I184" s="10" t="str">
        <f>IF(Table1345[[#This Row],[Product ID]]="","",SUMIFS(Stockin!E:E,Stockin!A:A,Table1345[[#This Row],[Product ID]]))</f>
        <v/>
      </c>
      <c r="J184" s="10" t="str">
        <f>IF(Table1345[[#This Row],[Product ID]]="","",SUMIFS(StockOut!F:F,StockOut!B:B,Table1345[[#This Row],[Product ID]]))</f>
        <v/>
      </c>
      <c r="K184" s="10" t="str">
        <f>IF(A183="","",IF(Table1345[[#This Row],[StockonHand]]&lt;5, "Re-Order","Available"))</f>
        <v/>
      </c>
      <c r="L184" s="10" t="str">
        <f>IF(Table1345[[#This Row],[Product ID]]="","",PRODUCT(Table1345[[#This Row],[Beginning Stocks]]-Table1345[[#This Row],[Transact Qty]]))</f>
        <v/>
      </c>
    </row>
    <row r="185" spans="1:12" ht="30" customHeight="1" x14ac:dyDescent="0.3">
      <c r="A185" s="4" t="str">
        <f t="shared" si="5"/>
        <v/>
      </c>
      <c r="B185" s="4" t="str">
        <f>IF(Table1345[[#This Row],[Product ID]]="","",VLOOKUP(Table1345[[#This Row],[Product ID]],data,2,FALSE))</f>
        <v/>
      </c>
      <c r="C185" s="4" t="str">
        <f>IF(Table1345[[#This Row],[Product ID]]="","",VLOOKUP(Table1345[[#This Row],[Product ID]],data,3,FALSE))</f>
        <v/>
      </c>
      <c r="D185" s="7" t="str">
        <f>IF(Table1345[[#This Row],[Product ID]]="","",VLOOKUP(Table1345[[#This Row],[Product ID]],data,4,FALSE))</f>
        <v/>
      </c>
      <c r="E185" s="7" t="str">
        <f>IF(Table1345[[#This Row],[Product ID]]="","",VLOOKUP(Table1345[[#This Row],[Product ID]],data,5,FALSE))</f>
        <v/>
      </c>
      <c r="F185" s="7" t="str">
        <f>IF(Table1345[[#This Row],[Product ID]]="","",SUMIFS(Stockin!F:F,Stockin!A:A,Table1345[[#This Row],[Product ID]]))</f>
        <v/>
      </c>
      <c r="G185" s="7" t="str">
        <f>IF(Table1345[[#This Row],[Product ID]]="","",SUMIFS(StockOut!G:G,StockOut!B:B,Table1345[[#This Row],[Product ID]]))</f>
        <v/>
      </c>
      <c r="H185" s="7" t="str">
        <f>IF(Table1345[[#This Row],[Product ID]]="","",SUM(Table1345[[#This Row],[Unit ]]-Table1345[[#This Row],[Selling Price]])*Table1345[[#This Row],[Transact Qty]])</f>
        <v/>
      </c>
      <c r="I185" s="10" t="str">
        <f>IF(Table1345[[#This Row],[Product ID]]="","",SUMIFS(Stockin!E:E,Stockin!A:A,Table1345[[#This Row],[Product ID]]))</f>
        <v/>
      </c>
      <c r="J185" s="10" t="str">
        <f>IF(Table1345[[#This Row],[Product ID]]="","",SUMIFS(StockOut!F:F,StockOut!B:B,Table1345[[#This Row],[Product ID]]))</f>
        <v/>
      </c>
      <c r="K185" s="10" t="str">
        <f>IF(A184="","",IF(Table1345[[#This Row],[StockonHand]]&lt;5, "Re-Order","Available"))</f>
        <v/>
      </c>
      <c r="L185" s="10" t="str">
        <f>IF(Table1345[[#This Row],[Product ID]]="","",PRODUCT(Table1345[[#This Row],[Beginning Stocks]]-Table1345[[#This Row],[Transact Qty]]))</f>
        <v/>
      </c>
    </row>
    <row r="186" spans="1:12" ht="30" customHeight="1" x14ac:dyDescent="0.3">
      <c r="A186" s="4" t="str">
        <f t="shared" si="5"/>
        <v/>
      </c>
      <c r="B186" s="4" t="str">
        <f>IF(Table1345[[#This Row],[Product ID]]="","",VLOOKUP(Table1345[[#This Row],[Product ID]],data,2,FALSE))</f>
        <v/>
      </c>
      <c r="C186" s="4" t="str">
        <f>IF(Table1345[[#This Row],[Product ID]]="","",VLOOKUP(Table1345[[#This Row],[Product ID]],data,3,FALSE))</f>
        <v/>
      </c>
      <c r="D186" s="7" t="str">
        <f>IF(Table1345[[#This Row],[Product ID]]="","",VLOOKUP(Table1345[[#This Row],[Product ID]],data,4,FALSE))</f>
        <v/>
      </c>
      <c r="E186" s="7" t="str">
        <f>IF(Table1345[[#This Row],[Product ID]]="","",VLOOKUP(Table1345[[#This Row],[Product ID]],data,5,FALSE))</f>
        <v/>
      </c>
      <c r="F186" s="7" t="str">
        <f>IF(Table1345[[#This Row],[Product ID]]="","",SUMIFS(Stockin!F:F,Stockin!A:A,Table1345[[#This Row],[Product ID]]))</f>
        <v/>
      </c>
      <c r="G186" s="7" t="str">
        <f>IF(Table1345[[#This Row],[Product ID]]="","",SUMIFS(StockOut!G:G,StockOut!B:B,Table1345[[#This Row],[Product ID]]))</f>
        <v/>
      </c>
      <c r="H186" s="7" t="str">
        <f>IF(Table1345[[#This Row],[Product ID]]="","",SUM(Table1345[[#This Row],[Unit ]]-Table1345[[#This Row],[Selling Price]])*Table1345[[#This Row],[Transact Qty]])</f>
        <v/>
      </c>
      <c r="I186" s="10" t="str">
        <f>IF(Table1345[[#This Row],[Product ID]]="","",SUMIFS(Stockin!E:E,Stockin!A:A,Table1345[[#This Row],[Product ID]]))</f>
        <v/>
      </c>
      <c r="J186" s="10" t="str">
        <f>IF(Table1345[[#This Row],[Product ID]]="","",SUMIFS(StockOut!F:F,StockOut!B:B,Table1345[[#This Row],[Product ID]]))</f>
        <v/>
      </c>
      <c r="K186" s="10" t="str">
        <f>IF(A185="","",IF(Table1345[[#This Row],[StockonHand]]&lt;5, "Re-Order","Available"))</f>
        <v/>
      </c>
      <c r="L186" s="10" t="str">
        <f>IF(Table1345[[#This Row],[Product ID]]="","",PRODUCT(Table1345[[#This Row],[Beginning Stocks]]-Table1345[[#This Row],[Transact Qty]]))</f>
        <v/>
      </c>
    </row>
    <row r="187" spans="1:12" ht="30" customHeight="1" x14ac:dyDescent="0.3">
      <c r="A187" s="4" t="str">
        <f t="shared" si="5"/>
        <v/>
      </c>
      <c r="B187" s="4" t="str">
        <f>IF(Table1345[[#This Row],[Product ID]]="","",VLOOKUP(Table1345[[#This Row],[Product ID]],data,2,FALSE))</f>
        <v/>
      </c>
      <c r="C187" s="4" t="str">
        <f>IF(Table1345[[#This Row],[Product ID]]="","",VLOOKUP(Table1345[[#This Row],[Product ID]],data,3,FALSE))</f>
        <v/>
      </c>
      <c r="D187" s="7" t="str">
        <f>IF(Table1345[[#This Row],[Product ID]]="","",VLOOKUP(Table1345[[#This Row],[Product ID]],data,4,FALSE))</f>
        <v/>
      </c>
      <c r="E187" s="7" t="str">
        <f>IF(Table1345[[#This Row],[Product ID]]="","",VLOOKUP(Table1345[[#This Row],[Product ID]],data,5,FALSE))</f>
        <v/>
      </c>
      <c r="F187" s="7" t="str">
        <f>IF(Table1345[[#This Row],[Product ID]]="","",SUMIFS(Stockin!F:F,Stockin!A:A,Table1345[[#This Row],[Product ID]]))</f>
        <v/>
      </c>
      <c r="G187" s="7" t="str">
        <f>IF(Table1345[[#This Row],[Product ID]]="","",SUMIFS(StockOut!G:G,StockOut!B:B,Table1345[[#This Row],[Product ID]]))</f>
        <v/>
      </c>
      <c r="H187" s="7" t="str">
        <f>IF(Table1345[[#This Row],[Product ID]]="","",SUM(Table1345[[#This Row],[Unit ]]-Table1345[[#This Row],[Selling Price]])*Table1345[[#This Row],[Transact Qty]])</f>
        <v/>
      </c>
      <c r="I187" s="10" t="str">
        <f>IF(Table1345[[#This Row],[Product ID]]="","",SUMIFS(Stockin!E:E,Stockin!A:A,Table1345[[#This Row],[Product ID]]))</f>
        <v/>
      </c>
      <c r="J187" s="10" t="str">
        <f>IF(Table1345[[#This Row],[Product ID]]="","",SUMIFS(StockOut!F:F,StockOut!B:B,Table1345[[#This Row],[Product ID]]))</f>
        <v/>
      </c>
      <c r="K187" s="10" t="str">
        <f>IF(A186="","",IF(Table1345[[#This Row],[StockonHand]]&lt;5, "Re-Order","Available"))</f>
        <v/>
      </c>
      <c r="L187" s="10" t="str">
        <f>IF(Table1345[[#This Row],[Product ID]]="","",PRODUCT(Table1345[[#This Row],[Beginning Stocks]]-Table1345[[#This Row],[Transact Qty]]))</f>
        <v/>
      </c>
    </row>
    <row r="188" spans="1:12" ht="30" customHeight="1" x14ac:dyDescent="0.3">
      <c r="A188" s="4" t="str">
        <f t="shared" si="5"/>
        <v/>
      </c>
      <c r="B188" s="4" t="str">
        <f>IF(Table1345[[#This Row],[Product ID]]="","",VLOOKUP(Table1345[[#This Row],[Product ID]],data,2,FALSE))</f>
        <v/>
      </c>
      <c r="C188" s="4" t="str">
        <f>IF(Table1345[[#This Row],[Product ID]]="","",VLOOKUP(Table1345[[#This Row],[Product ID]],data,3,FALSE))</f>
        <v/>
      </c>
      <c r="D188" s="7" t="str">
        <f>IF(Table1345[[#This Row],[Product ID]]="","",VLOOKUP(Table1345[[#This Row],[Product ID]],data,4,FALSE))</f>
        <v/>
      </c>
      <c r="E188" s="7" t="str">
        <f>IF(Table1345[[#This Row],[Product ID]]="","",VLOOKUP(Table1345[[#This Row],[Product ID]],data,5,FALSE))</f>
        <v/>
      </c>
      <c r="F188" s="7" t="str">
        <f>IF(Table1345[[#This Row],[Product ID]]="","",SUMIFS(Stockin!F:F,Stockin!A:A,Table1345[[#This Row],[Product ID]]))</f>
        <v/>
      </c>
      <c r="G188" s="7" t="str">
        <f>IF(Table1345[[#This Row],[Product ID]]="","",SUMIFS(StockOut!G:G,StockOut!B:B,Table1345[[#This Row],[Product ID]]))</f>
        <v/>
      </c>
      <c r="H188" s="7" t="str">
        <f>IF(Table1345[[#This Row],[Product ID]]="","",SUM(Table1345[[#This Row],[Unit ]]-Table1345[[#This Row],[Selling Price]])*Table1345[[#This Row],[Transact Qty]])</f>
        <v/>
      </c>
      <c r="I188" s="10" t="str">
        <f>IF(Table1345[[#This Row],[Product ID]]="","",SUMIFS(Stockin!E:E,Stockin!A:A,Table1345[[#This Row],[Product ID]]))</f>
        <v/>
      </c>
      <c r="J188" s="10" t="str">
        <f>IF(Table1345[[#This Row],[Product ID]]="","",SUMIFS(StockOut!F:F,StockOut!B:B,Table1345[[#This Row],[Product ID]]))</f>
        <v/>
      </c>
      <c r="K188" s="10" t="str">
        <f>IF(A187="","",IF(Table1345[[#This Row],[StockonHand]]&lt;5, "Re-Order","Available"))</f>
        <v/>
      </c>
      <c r="L188" s="10" t="str">
        <f>IF(Table1345[[#This Row],[Product ID]]="","",PRODUCT(Table1345[[#This Row],[Beginning Stocks]]-Table1345[[#This Row],[Transact Qty]]))</f>
        <v/>
      </c>
    </row>
    <row r="189" spans="1:12" ht="30" customHeight="1" x14ac:dyDescent="0.3">
      <c r="A189" s="4" t="str">
        <f t="shared" si="5"/>
        <v/>
      </c>
      <c r="B189" s="4" t="str">
        <f>IF(Table1345[[#This Row],[Product ID]]="","",VLOOKUP(Table1345[[#This Row],[Product ID]],data,2,FALSE))</f>
        <v/>
      </c>
      <c r="C189" s="4" t="str">
        <f>IF(Table1345[[#This Row],[Product ID]]="","",VLOOKUP(Table1345[[#This Row],[Product ID]],data,3,FALSE))</f>
        <v/>
      </c>
      <c r="D189" s="7" t="str">
        <f>IF(Table1345[[#This Row],[Product ID]]="","",VLOOKUP(Table1345[[#This Row],[Product ID]],data,4,FALSE))</f>
        <v/>
      </c>
      <c r="E189" s="7" t="str">
        <f>IF(Table1345[[#This Row],[Product ID]]="","",VLOOKUP(Table1345[[#This Row],[Product ID]],data,5,FALSE))</f>
        <v/>
      </c>
      <c r="F189" s="7" t="str">
        <f>IF(Table1345[[#This Row],[Product ID]]="","",SUMIFS(Stockin!F:F,Stockin!A:A,Table1345[[#This Row],[Product ID]]))</f>
        <v/>
      </c>
      <c r="G189" s="7" t="str">
        <f>IF(Table1345[[#This Row],[Product ID]]="","",SUMIFS(StockOut!G:G,StockOut!B:B,Table1345[[#This Row],[Product ID]]))</f>
        <v/>
      </c>
      <c r="H189" s="7" t="str">
        <f>IF(Table1345[[#This Row],[Product ID]]="","",SUM(Table1345[[#This Row],[Unit ]]-Table1345[[#This Row],[Selling Price]])*Table1345[[#This Row],[Transact Qty]])</f>
        <v/>
      </c>
      <c r="I189" s="10" t="str">
        <f>IF(Table1345[[#This Row],[Product ID]]="","",SUMIFS(Stockin!E:E,Stockin!A:A,Table1345[[#This Row],[Product ID]]))</f>
        <v/>
      </c>
      <c r="J189" s="10" t="str">
        <f>IF(Table1345[[#This Row],[Product ID]]="","",SUMIFS(StockOut!F:F,StockOut!B:B,Table1345[[#This Row],[Product ID]]))</f>
        <v/>
      </c>
      <c r="K189" s="10" t="str">
        <f>IF(A188="","",IF(Table1345[[#This Row],[StockonHand]]&lt;5, "Re-Order","Available"))</f>
        <v/>
      </c>
      <c r="L189" s="10" t="str">
        <f>IF(Table1345[[#This Row],[Product ID]]="","",PRODUCT(Table1345[[#This Row],[Beginning Stocks]]-Table1345[[#This Row],[Transact Qty]]))</f>
        <v/>
      </c>
    </row>
    <row r="190" spans="1:12" ht="30" customHeight="1" x14ac:dyDescent="0.3">
      <c r="A190" s="4" t="str">
        <f t="shared" si="5"/>
        <v/>
      </c>
      <c r="B190" s="4" t="str">
        <f>IF(Table1345[[#This Row],[Product ID]]="","",VLOOKUP(Table1345[[#This Row],[Product ID]],data,2,FALSE))</f>
        <v/>
      </c>
      <c r="C190" s="4" t="str">
        <f>IF(Table1345[[#This Row],[Product ID]]="","",VLOOKUP(Table1345[[#This Row],[Product ID]],data,3,FALSE))</f>
        <v/>
      </c>
      <c r="D190" s="7" t="str">
        <f>IF(Table1345[[#This Row],[Product ID]]="","",VLOOKUP(Table1345[[#This Row],[Product ID]],data,4,FALSE))</f>
        <v/>
      </c>
      <c r="E190" s="7" t="str">
        <f>IF(Table1345[[#This Row],[Product ID]]="","",VLOOKUP(Table1345[[#This Row],[Product ID]],data,5,FALSE))</f>
        <v/>
      </c>
      <c r="F190" s="7" t="str">
        <f>IF(Table1345[[#This Row],[Product ID]]="","",SUMIFS(Stockin!F:F,Stockin!A:A,Table1345[[#This Row],[Product ID]]))</f>
        <v/>
      </c>
      <c r="G190" s="7" t="str">
        <f>IF(Table1345[[#This Row],[Product ID]]="","",SUMIFS(StockOut!G:G,StockOut!B:B,Table1345[[#This Row],[Product ID]]))</f>
        <v/>
      </c>
      <c r="H190" s="7" t="str">
        <f>IF(Table1345[[#This Row],[Product ID]]="","",SUM(Table1345[[#This Row],[Unit ]]-Table1345[[#This Row],[Selling Price]])*Table1345[[#This Row],[Transact Qty]])</f>
        <v/>
      </c>
      <c r="I190" s="10" t="str">
        <f>IF(Table1345[[#This Row],[Product ID]]="","",SUMIFS(Stockin!E:E,Stockin!A:A,Table1345[[#This Row],[Product ID]]))</f>
        <v/>
      </c>
      <c r="J190" s="10" t="str">
        <f>IF(Table1345[[#This Row],[Product ID]]="","",SUMIFS(StockOut!F:F,StockOut!B:B,Table1345[[#This Row],[Product ID]]))</f>
        <v/>
      </c>
      <c r="K190" s="10" t="str">
        <f>IF(A189="","",IF(Table1345[[#This Row],[StockonHand]]&lt;5, "Re-Order","Available"))</f>
        <v/>
      </c>
      <c r="L190" s="10" t="str">
        <f>IF(Table1345[[#This Row],[Product ID]]="","",PRODUCT(Table1345[[#This Row],[Beginning Stocks]]-Table1345[[#This Row],[Transact Qty]]))</f>
        <v/>
      </c>
    </row>
    <row r="191" spans="1:12" ht="30" customHeight="1" x14ac:dyDescent="0.3">
      <c r="A191" s="4" t="str">
        <f t="shared" si="5"/>
        <v/>
      </c>
      <c r="B191" s="4" t="str">
        <f>IF(Table1345[[#This Row],[Product ID]]="","",VLOOKUP(Table1345[[#This Row],[Product ID]],data,2,FALSE))</f>
        <v/>
      </c>
      <c r="C191" s="4" t="str">
        <f>IF(Table1345[[#This Row],[Product ID]]="","",VLOOKUP(Table1345[[#This Row],[Product ID]],data,3,FALSE))</f>
        <v/>
      </c>
      <c r="D191" s="7" t="str">
        <f>IF(Table1345[[#This Row],[Product ID]]="","",VLOOKUP(Table1345[[#This Row],[Product ID]],data,4,FALSE))</f>
        <v/>
      </c>
      <c r="E191" s="7" t="str">
        <f>IF(Table1345[[#This Row],[Product ID]]="","",VLOOKUP(Table1345[[#This Row],[Product ID]],data,5,FALSE))</f>
        <v/>
      </c>
      <c r="F191" s="7" t="str">
        <f>IF(Table1345[[#This Row],[Product ID]]="","",SUMIFS(Stockin!F:F,Stockin!A:A,Table1345[[#This Row],[Product ID]]))</f>
        <v/>
      </c>
      <c r="G191" s="7" t="str">
        <f>IF(Table1345[[#This Row],[Product ID]]="","",SUMIFS(StockOut!G:G,StockOut!B:B,Table1345[[#This Row],[Product ID]]))</f>
        <v/>
      </c>
      <c r="H191" s="7" t="str">
        <f>IF(Table1345[[#This Row],[Product ID]]="","",SUM(Table1345[[#This Row],[Unit ]]-Table1345[[#This Row],[Selling Price]])*Table1345[[#This Row],[Transact Qty]])</f>
        <v/>
      </c>
      <c r="I191" s="10" t="str">
        <f>IF(Table1345[[#This Row],[Product ID]]="","",SUMIFS(Stockin!E:E,Stockin!A:A,Table1345[[#This Row],[Product ID]]))</f>
        <v/>
      </c>
      <c r="J191" s="10" t="str">
        <f>IF(Table1345[[#This Row],[Product ID]]="","",SUMIFS(StockOut!F:F,StockOut!B:B,Table1345[[#This Row],[Product ID]]))</f>
        <v/>
      </c>
      <c r="K191" s="10" t="str">
        <f>IF(A190="","",IF(Table1345[[#This Row],[StockonHand]]&lt;5, "Re-Order","Available"))</f>
        <v/>
      </c>
      <c r="L191" s="10" t="str">
        <f>IF(Table1345[[#This Row],[Product ID]]="","",PRODUCT(Table1345[[#This Row],[Beginning Stocks]]-Table1345[[#This Row],[Transact Qty]]))</f>
        <v/>
      </c>
    </row>
  </sheetData>
  <conditionalFormatting sqref="A2:L191">
    <cfRule type="containsBlanks" dxfId="17" priority="3">
      <formula>LEN(TRIM(A2))=0</formula>
    </cfRule>
    <cfRule type="notContainsBlanks" dxfId="16" priority="4">
      <formula>LEN(TRIM(A2))&gt;0</formula>
    </cfRule>
  </conditionalFormatting>
  <conditionalFormatting sqref="K1:K1048576">
    <cfRule type="containsText" dxfId="15" priority="1" operator="containsText" text="Available">
      <formula>NOT(ISERROR(SEARCH("Available",K1)))</formula>
    </cfRule>
    <cfRule type="containsText" dxfId="14" priority="2" operator="containsText" text="Re-Order">
      <formula>NOT(ISERROR(SEARCH("Re-Order",K1)))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Inventory Form</vt:lpstr>
      <vt:lpstr>MasterData</vt:lpstr>
      <vt:lpstr>Stockin</vt:lpstr>
      <vt:lpstr>StockOut</vt:lpstr>
      <vt:lpstr>Inventory-Summary</vt:lpstr>
      <vt:lpstr>data</vt:lpstr>
      <vt:lpstr>item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courteny madronero</dc:creator>
  <cp:lastModifiedBy>courteny madronero</cp:lastModifiedBy>
  <cp:lastPrinted>2025-01-04T14:22:03Z</cp:lastPrinted>
  <dcterms:created xsi:type="dcterms:W3CDTF">2024-12-23T14:44:46Z</dcterms:created>
  <dcterms:modified xsi:type="dcterms:W3CDTF">2025-01-04T14:49:19Z</dcterms:modified>
</cp:coreProperties>
</file>